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tables/table2.xml" ContentType="application/vnd.openxmlformats-officedocument.spreadsheetml.table+xml"/>
  <Override PartName="/xl/printerSettings/printerSettings2.bin" ContentType="application/vnd.openxmlformats-officedocument.spreadsheetml.printerSettings"/>
  <Override PartName="/xl/drawings/drawing3.xml" ContentType="application/vnd.openxmlformats-officedocument.drawing+xml"/>
  <Override PartName="/xl/activeX/activeX12.xml" ContentType="application/vnd.ms-office.activeX+xml"/>
  <Override PartName="/xl/activeX/activeX13.xml" ContentType="application/vnd.ms-office.activeX+xml"/>
  <Override PartName="/xl/drawings/drawing4.xml" ContentType="application/vnd.openxmlformats-officedocument.drawing+xml"/>
  <Override PartName="/xl/activeX/activeX14.xml" ContentType="application/vnd.ms-office.activeX+xml"/>
  <Override PartName="/xl/activeX/activeX15.xml" ContentType="application/vnd.ms-office.activeX+xml"/>
  <Override PartName="/xl/activeX/activeX16.xml" ContentType="application/vnd.ms-office.activeX+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5.xml" ContentType="application/vnd.openxmlformats-officedocument.drawing+xml"/>
  <Override PartName="/xl/activeX/activeX17.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8" yWindow="-108" windowWidth="16668" windowHeight="9468" firstSheet="1" activeTab="1"/>
  </bookViews>
  <sheets>
    <sheet name="Employe" sheetId="6" state="veryHidden" r:id="rId1"/>
    <sheet name="Accueil" sheetId="1" r:id="rId2"/>
    <sheet name="Compte" sheetId="2" state="veryHidden" r:id="rId3"/>
    <sheet name="Membres" sheetId="3" state="veryHidden" r:id="rId4"/>
    <sheet name="Bulletin de paie" sheetId="4" state="veryHidden" r:id="rId5"/>
    <sheet name="Personnel" sheetId="5" state="veryHidden" r:id="rId6"/>
    <sheet name="Superviseur" sheetId="7" state="veryHidden" r:id="rId7"/>
    <sheet name="Demande" sheetId="8" state="veryHidden" r:id="rId8"/>
    <sheet name="Configuration" sheetId="9" state="veryHidden" r:id="rId9"/>
    <sheet name="présence" sheetId="10" state="veryHidden" r:id="rId10"/>
    <sheet name="Help_e" sheetId="11" state="hidden" r:id="rId11"/>
  </sheets>
  <functionGroups builtInGroupCount="17"/>
  <definedNames>
    <definedName name="_xlnm.Print_Area" localSheetId="4">'Bulletin de paie'!$A$1:$G$35</definedName>
  </definedNames>
  <calcPr calcId="144525"/>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19" i="4" l="1"/>
  <c r="E13" i="4" l="1"/>
  <c r="E18" i="4"/>
  <c r="E11" i="4"/>
  <c r="E14" i="4"/>
  <c r="E10" i="4"/>
  <c r="E25" i="4" l="1"/>
  <c r="E31" i="4" s="1"/>
  <c r="E21" i="4"/>
  <c r="I4" i="10"/>
  <c r="I5" i="10"/>
  <c r="I6" i="10"/>
  <c r="I7" i="10"/>
  <c r="E33" i="4" l="1"/>
</calcChain>
</file>

<file path=xl/sharedStrings.xml><?xml version="1.0" encoding="utf-8"?>
<sst xmlns="http://schemas.openxmlformats.org/spreadsheetml/2006/main" count="157" uniqueCount="119">
  <si>
    <t>Users</t>
  </si>
  <si>
    <t>Mot de passe</t>
  </si>
  <si>
    <t>Categorie</t>
  </si>
  <si>
    <t>Purtis</t>
  </si>
  <si>
    <t>Admin</t>
  </si>
  <si>
    <t>Personnel</t>
  </si>
  <si>
    <t>BonjourAdmin purtis</t>
  </si>
  <si>
    <t>Email</t>
  </si>
  <si>
    <t>BULLETIN DE PAIE</t>
  </si>
  <si>
    <t>Comptable</t>
  </si>
  <si>
    <t>Noms et Prenoms</t>
  </si>
  <si>
    <t>Matricule</t>
  </si>
  <si>
    <t>Fonction</t>
  </si>
  <si>
    <t>Sexe</t>
  </si>
  <si>
    <t>Numero de telephone</t>
  </si>
  <si>
    <t>COMPTABLE</t>
  </si>
  <si>
    <t>FEMININ</t>
  </si>
  <si>
    <t>Noms</t>
  </si>
  <si>
    <t>Prenoms</t>
  </si>
  <si>
    <t>Numero</t>
  </si>
  <si>
    <t>Decision</t>
  </si>
  <si>
    <t>MASCULIN</t>
  </si>
  <si>
    <t>VALIDEE</t>
  </si>
  <si>
    <t>Motifs</t>
  </si>
  <si>
    <t>Periode</t>
  </si>
  <si>
    <t>Duree</t>
  </si>
  <si>
    <t>Date de la demande</t>
  </si>
  <si>
    <t>Signature</t>
  </si>
  <si>
    <t>VOYAGE</t>
  </si>
  <si>
    <t>FEVRIER</t>
  </si>
  <si>
    <t>JANVIER</t>
  </si>
  <si>
    <t>MALADIE</t>
  </si>
  <si>
    <t>PROFESSEUR</t>
  </si>
  <si>
    <t>NON VALIDEE</t>
  </si>
  <si>
    <t>MARIAGE</t>
  </si>
  <si>
    <t>MARS</t>
  </si>
  <si>
    <t>DRH</t>
  </si>
  <si>
    <t>AVRIL</t>
  </si>
  <si>
    <t>CAMPUS MANAGER</t>
  </si>
  <si>
    <t>MAI</t>
  </si>
  <si>
    <t>JUIN</t>
  </si>
  <si>
    <t>JUILLET</t>
  </si>
  <si>
    <t>AOUT</t>
  </si>
  <si>
    <t>SEPTEMBRE</t>
  </si>
  <si>
    <t>OCTOBRE</t>
  </si>
  <si>
    <t>NOVEMBRE</t>
  </si>
  <si>
    <t>DECEMBRE</t>
  </si>
  <si>
    <t>M120120</t>
  </si>
  <si>
    <t>Purtisngos@gmail.com</t>
  </si>
  <si>
    <t>Moise Vlad  Ngos</t>
  </si>
  <si>
    <t>Amougou André</t>
  </si>
  <si>
    <t>G34123</t>
  </si>
  <si>
    <t>FICHE DE PRESENCE</t>
  </si>
  <si>
    <t>TOTAL SEMAINE</t>
  </si>
  <si>
    <t>ATLAS CORPORATION</t>
  </si>
  <si>
    <t>Catégorie Echelon</t>
  </si>
  <si>
    <t>Situation Matrimoniale</t>
  </si>
  <si>
    <t>Ville</t>
  </si>
  <si>
    <t>Marié</t>
  </si>
  <si>
    <t>Célibataire</t>
  </si>
  <si>
    <t>YAOUNDE</t>
  </si>
  <si>
    <t>DOUALA</t>
  </si>
  <si>
    <t>BERTOUA</t>
  </si>
  <si>
    <t>PARIS</t>
  </si>
  <si>
    <t>NEW YORK</t>
  </si>
  <si>
    <t>Cadre</t>
  </si>
  <si>
    <t>Directeur Général</t>
  </si>
  <si>
    <t>Sécrétaire</t>
  </si>
  <si>
    <t>Chef de Service</t>
  </si>
  <si>
    <t>MAROUA</t>
  </si>
  <si>
    <t>Divorcé</t>
  </si>
  <si>
    <t>Veuf</t>
  </si>
  <si>
    <t>Ntonga Christelle</t>
  </si>
  <si>
    <t>M120123</t>
  </si>
  <si>
    <t>Identification</t>
  </si>
  <si>
    <t>Poste de l'employé</t>
  </si>
  <si>
    <t>Nom de l'employeur</t>
  </si>
  <si>
    <t>Periode de travail</t>
  </si>
  <si>
    <t>Date du paiement</t>
  </si>
  <si>
    <t>Salaire</t>
  </si>
  <si>
    <t>Commission versée</t>
  </si>
  <si>
    <t>Salaire brut</t>
  </si>
  <si>
    <t>Déduction (retenues)</t>
  </si>
  <si>
    <t>Impôt Fédéral</t>
  </si>
  <si>
    <t>Assurance-emploi</t>
  </si>
  <si>
    <t>Salaire net</t>
  </si>
  <si>
    <t>Total des déductions</t>
  </si>
  <si>
    <t>MAT</t>
  </si>
  <si>
    <t>NOM</t>
  </si>
  <si>
    <t>LUNDI</t>
  </si>
  <si>
    <t>MARDI</t>
  </si>
  <si>
    <t>MERCREDI</t>
  </si>
  <si>
    <t>JEUDI</t>
  </si>
  <si>
    <t>VENDREDI</t>
  </si>
  <si>
    <t>SAMEDI</t>
  </si>
  <si>
    <t>Zuber Ndengue</t>
  </si>
  <si>
    <t>M154102</t>
  </si>
  <si>
    <t>Zuber</t>
  </si>
  <si>
    <t>Mvogo</t>
  </si>
  <si>
    <t>Edouard</t>
  </si>
  <si>
    <t>M125478</t>
  </si>
  <si>
    <t>Bonjour Admin Mvogo</t>
  </si>
  <si>
    <t>Moise Vlad</t>
  </si>
  <si>
    <t>Purtis Ngos</t>
  </si>
  <si>
    <t>M585457</t>
  </si>
  <si>
    <t>Bonjour Zuber</t>
  </si>
  <si>
    <t>Nom et Prénom de l'employé</t>
  </si>
  <si>
    <t>Heures Travaillées</t>
  </si>
  <si>
    <t>Taux régulier</t>
  </si>
  <si>
    <t xml:space="preserve">Heures travaillées </t>
  </si>
  <si>
    <t>01/01/2023-02/02/2023</t>
  </si>
  <si>
    <t>Absences</t>
  </si>
  <si>
    <t>02 mois</t>
  </si>
  <si>
    <t>Moise</t>
  </si>
  <si>
    <t>02/03/2022-02/04/2022</t>
  </si>
  <si>
    <t>01 mois</t>
  </si>
  <si>
    <t>14-02-2023</t>
  </si>
  <si>
    <t>Andre</t>
  </si>
  <si>
    <t>01/02/2023-01/02/2023</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</si>
</sst>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_-* #,##0\ [$CFA-300C]_-;\-* #,##0\ [$CFA-300C]_-;_-* &quot;-&quot;\ [$CFA-300C]_-;_-@_-"/>
    <numFmt numFmtId="166" formatCode="_-* #,##0.00\ [$FCFA-2C0C]_-;\-* #,##0.00\ [$FCFA-2C0C]_-;_-* &quot;-&quot;??\ [$FCFA-2C0C]_-;_-@_-"/>
  </numFmts>
  <fonts count="14"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Algerian"/>
      <family val="5"/>
    </font>
    <font>
      <b/>
      <sz val="11"/>
      <color theme="0"/>
      <name val="Calibri"/>
      <family val="2"/>
      <scheme val="minor"/>
    </font>
    <font>
      <b/>
      <sz val="26"/>
      <color theme="1"/>
      <name val="Calibri"/>
      <family val="2"/>
      <scheme val="minor"/>
    </font>
    <font>
      <b/>
      <sz val="20"/>
      <color theme="1"/>
      <name val="Calibri"/>
      <family val="2"/>
      <scheme val="minor"/>
    </font>
    <font>
      <sz val="11"/>
      <color rgb="FF00B0F0"/>
      <name val="Calibri"/>
      <family val="2"/>
      <scheme val="minor"/>
    </font>
    <font>
      <b/>
      <sz val="18"/>
      <color theme="1"/>
      <name val="Times New Roman"/>
      <family val="1"/>
    </font>
    <font>
      <sz val="18"/>
      <color theme="1"/>
      <name val="Times New Roman"/>
      <family val="1"/>
    </font>
    <font>
      <b/>
      <u/>
      <sz val="16"/>
      <color theme="1"/>
      <name val="Times New Roman"/>
      <family val="1"/>
    </font>
    <font>
      <sz val="11"/>
      <color theme="1"/>
      <name val="Calibri"/>
      <family val="2"/>
      <scheme val="minor"/>
    </font>
    <font>
      <b/>
      <sz val="11"/>
      <color rgb="FF00B0F0"/>
      <name val="Calibri"/>
      <family val="2"/>
      <scheme val="minor"/>
    </font>
    <font>
      <b/>
      <sz val="16"/>
      <color theme="1"/>
      <name val="Times New Roman"/>
      <family val="1"/>
    </font>
  </fonts>
  <fills count="11">
    <fill>
      <patternFill patternType="none"/>
    </fill>
    <fill>
      <patternFill patternType="gray125"/>
    </fill>
    <fill>
      <patternFill patternType="solid">
        <fgColor theme="3" tint="-0.249977111117893"/>
        <bgColor indexed="64"/>
      </patternFill>
    </fill>
    <fill>
      <patternFill patternType="solid">
        <fgColor theme="4"/>
        <bgColor theme="4"/>
      </patternFill>
    </fill>
    <fill>
      <patternFill patternType="solid">
        <fgColor theme="0" tint="-0.34998626667073579"/>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rgb="FF002060"/>
        <bgColor indexed="64"/>
      </patternFill>
    </fill>
    <fill>
      <patternFill patternType="solid">
        <fgColor rgb="FFFFCC66"/>
        <bgColor indexed="64"/>
      </patternFill>
    </fill>
    <fill>
      <patternFill patternType="solid">
        <fgColor rgb="FFFFFFCC"/>
        <bgColor indexed="64"/>
      </patternFill>
    </fill>
    <fill>
      <patternFill patternType="solid">
        <fgColor theme="2"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164" fontId="11" fillId="0" borderId="0" applyFont="0" applyFill="0" applyBorder="0" applyAlignment="0" applyProtection="0"/>
  </cellStyleXfs>
  <cellXfs count="77">
    <xf numFmtId="0" fontId="0" fillId="0" borderId="0" xfId="0"/>
    <xf numFmtId="0" fontId="0" fillId="2" borderId="0" xfId="0" applyFill="1"/>
    <xf numFmtId="0" fontId="3" fillId="0" borderId="0" xfId="0" applyFont="1"/>
    <xf numFmtId="0" fontId="0" fillId="0" borderId="1" xfId="0" applyBorder="1"/>
    <xf numFmtId="0" fontId="0" fillId="0" borderId="0" xfId="0" applyAlignment="1">
      <alignment horizontal="center"/>
    </xf>
    <xf numFmtId="0" fontId="4" fillId="3" borderId="4" xfId="0" applyFont="1" applyFill="1" applyBorder="1"/>
    <xf numFmtId="0" fontId="4" fillId="3" borderId="0" xfId="0" applyFont="1" applyFill="1"/>
    <xf numFmtId="0" fontId="4" fillId="3" borderId="5" xfId="0" applyFont="1" applyFill="1" applyBorder="1"/>
    <xf numFmtId="0" fontId="0" fillId="0" borderId="2" xfId="0" applyBorder="1"/>
    <xf numFmtId="0" fontId="0" fillId="0" borderId="3" xfId="0" applyBorder="1"/>
    <xf numFmtId="0" fontId="4" fillId="0" borderId="0" xfId="0" applyFont="1"/>
    <xf numFmtId="0" fontId="0" fillId="4" borderId="0" xfId="0" applyFill="1"/>
    <xf numFmtId="0" fontId="2" fillId="4" borderId="0" xfId="0" applyFont="1" applyFill="1"/>
    <xf numFmtId="0" fontId="1" fillId="0" borderId="0" xfId="0" applyFont="1" applyAlignment="1">
      <alignment horizontal="center"/>
    </xf>
    <xf numFmtId="14" fontId="0" fillId="0" borderId="7" xfId="0" applyNumberFormat="1" applyBorder="1"/>
    <xf numFmtId="0" fontId="0" fillId="0" borderId="1" xfId="0" applyBorder="1" applyAlignment="1">
      <alignment horizontal="center"/>
    </xf>
    <xf numFmtId="0" fontId="0" fillId="0" borderId="8" xfId="0" applyBorder="1" applyAlignment="1">
      <alignment horizontal="center"/>
    </xf>
    <xf numFmtId="0" fontId="0" fillId="0" borderId="1" xfId="0" applyBorder="1" applyAlignment="1">
      <alignment horizontal="left"/>
    </xf>
    <xf numFmtId="0" fontId="7" fillId="7" borderId="0" xfId="0" applyFont="1" applyFill="1"/>
    <xf numFmtId="0" fontId="0" fillId="0" borderId="0" xfId="0" applyAlignment="1">
      <alignment horizontal="center"/>
    </xf>
    <xf numFmtId="0" fontId="0" fillId="0" borderId="0" xfId="0" applyBorder="1"/>
    <xf numFmtId="0" fontId="0" fillId="0" borderId="9" xfId="0" applyBorder="1"/>
    <xf numFmtId="0" fontId="0" fillId="0" borderId="0" xfId="0" applyAlignment="1"/>
    <xf numFmtId="0" fontId="0" fillId="0" borderId="15" xfId="0" applyBorder="1"/>
    <xf numFmtId="0" fontId="0" fillId="9" borderId="0" xfId="0" applyFill="1" applyBorder="1"/>
    <xf numFmtId="0" fontId="0" fillId="9" borderId="12" xfId="0" applyFill="1" applyBorder="1"/>
    <xf numFmtId="0" fontId="0" fillId="9" borderId="9" xfId="0" applyFill="1" applyBorder="1"/>
    <xf numFmtId="0" fontId="0" fillId="9" borderId="0" xfId="0" applyFill="1"/>
    <xf numFmtId="0" fontId="0" fillId="9" borderId="15" xfId="0" applyFill="1" applyBorder="1"/>
    <xf numFmtId="0" fontId="0" fillId="9" borderId="16" xfId="0" applyFill="1" applyBorder="1"/>
    <xf numFmtId="0" fontId="10" fillId="0" borderId="0" xfId="0" applyFont="1" applyFill="1" applyBorder="1" applyAlignment="1">
      <alignment vertical="center"/>
    </xf>
    <xf numFmtId="0" fontId="4" fillId="4" borderId="0" xfId="0" applyFont="1" applyFill="1"/>
    <xf numFmtId="0" fontId="12" fillId="7" borderId="0" xfId="0" applyFont="1" applyFill="1"/>
    <xf numFmtId="14" fontId="0" fillId="0" borderId="0" xfId="0" applyNumberFormat="1"/>
    <xf numFmtId="0" fontId="0" fillId="10" borderId="0" xfId="0" applyFill="1"/>
    <xf numFmtId="0" fontId="8" fillId="9" borderId="11" xfId="0" applyFont="1" applyFill="1" applyBorder="1" applyAlignment="1">
      <alignment horizontal="center" vertical="center"/>
    </xf>
    <xf numFmtId="0" fontId="9" fillId="9" borderId="11" xfId="0" applyFont="1" applyFill="1" applyBorder="1" applyAlignment="1">
      <alignment horizontal="center" vertical="center"/>
    </xf>
    <xf numFmtId="0" fontId="9" fillId="9" borderId="0" xfId="0" applyFont="1" applyFill="1" applyBorder="1" applyAlignment="1">
      <alignment horizontal="center" vertical="center"/>
    </xf>
    <xf numFmtId="166" fontId="13" fillId="8" borderId="10" xfId="1" applyNumberFormat="1" applyFont="1" applyFill="1" applyBorder="1" applyAlignment="1">
      <alignment horizontal="center" vertical="center"/>
    </xf>
    <xf numFmtId="166" fontId="13" fillId="8" borderId="12" xfId="1" applyNumberFormat="1" applyFont="1" applyFill="1" applyBorder="1" applyAlignment="1">
      <alignment horizontal="center" vertical="center"/>
    </xf>
    <xf numFmtId="166" fontId="13" fillId="8" borderId="14" xfId="1" applyNumberFormat="1" applyFont="1" applyFill="1" applyBorder="1" applyAlignment="1">
      <alignment horizontal="center" vertical="center"/>
    </xf>
    <xf numFmtId="166" fontId="13" fillId="8" borderId="16" xfId="1" applyNumberFormat="1" applyFont="1" applyFill="1" applyBorder="1" applyAlignment="1">
      <alignment horizontal="center" vertical="center"/>
    </xf>
    <xf numFmtId="0" fontId="10" fillId="8" borderId="0" xfId="0" applyFont="1" applyFill="1" applyBorder="1" applyAlignment="1">
      <alignment horizontal="center" vertical="center"/>
    </xf>
    <xf numFmtId="0" fontId="10" fillId="8" borderId="9" xfId="0" applyFont="1" applyFill="1" applyBorder="1" applyAlignment="1">
      <alignment horizontal="center" vertical="center"/>
    </xf>
    <xf numFmtId="0" fontId="10" fillId="8" borderId="15" xfId="0" applyFont="1" applyFill="1" applyBorder="1" applyAlignment="1">
      <alignment horizontal="center" vertical="center"/>
    </xf>
    <xf numFmtId="0" fontId="10" fillId="8" borderId="16" xfId="0" applyFont="1" applyFill="1" applyBorder="1" applyAlignment="1">
      <alignment horizontal="center" vertical="center"/>
    </xf>
    <xf numFmtId="166" fontId="0" fillId="9" borderId="20" xfId="0" applyNumberFormat="1" applyFill="1" applyBorder="1" applyAlignment="1">
      <alignment horizontal="center"/>
    </xf>
    <xf numFmtId="166" fontId="0" fillId="9" borderId="19" xfId="0" applyNumberFormat="1" applyFill="1" applyBorder="1" applyAlignment="1">
      <alignment horizontal="center"/>
    </xf>
    <xf numFmtId="165" fontId="0" fillId="9" borderId="20" xfId="0" applyNumberFormat="1" applyFill="1" applyBorder="1" applyAlignment="1">
      <alignment horizontal="center"/>
    </xf>
    <xf numFmtId="165" fontId="0" fillId="9" borderId="19" xfId="0" applyNumberFormat="1" applyFill="1" applyBorder="1" applyAlignment="1">
      <alignment horizontal="center"/>
    </xf>
    <xf numFmtId="0" fontId="10" fillId="8" borderId="13" xfId="0" applyFont="1" applyFill="1" applyBorder="1" applyAlignment="1">
      <alignment horizontal="center" vertical="center"/>
    </xf>
    <xf numFmtId="0" fontId="10" fillId="8" borderId="10" xfId="0" applyFont="1" applyFill="1" applyBorder="1" applyAlignment="1">
      <alignment horizontal="center" vertical="center"/>
    </xf>
    <xf numFmtId="0" fontId="10" fillId="8" borderId="12" xfId="0" applyFont="1" applyFill="1" applyBorder="1" applyAlignment="1">
      <alignment horizontal="center" vertical="center"/>
    </xf>
    <xf numFmtId="0" fontId="10" fillId="8" borderId="14" xfId="0" applyFont="1" applyFill="1" applyBorder="1" applyAlignment="1">
      <alignment horizontal="center" vertical="center"/>
    </xf>
    <xf numFmtId="0" fontId="0" fillId="9" borderId="20" xfId="0" applyFill="1" applyBorder="1" applyAlignment="1">
      <alignment horizontal="center"/>
    </xf>
    <xf numFmtId="0" fontId="0" fillId="9" borderId="19" xfId="0" applyFill="1" applyBorder="1" applyAlignment="1">
      <alignment horizontal="center"/>
    </xf>
    <xf numFmtId="0" fontId="1" fillId="9" borderId="20" xfId="0" applyFont="1" applyFill="1" applyBorder="1" applyAlignment="1">
      <alignment horizontal="center"/>
    </xf>
    <xf numFmtId="0" fontId="0" fillId="9" borderId="20" xfId="0" applyNumberFormat="1" applyFill="1" applyBorder="1" applyAlignment="1">
      <alignment horizontal="center"/>
    </xf>
    <xf numFmtId="0" fontId="0" fillId="9" borderId="19" xfId="0" applyNumberFormat="1"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0" xfId="0" applyFill="1" applyBorder="1" applyAlignment="1">
      <alignment horizontal="center"/>
    </xf>
    <xf numFmtId="0" fontId="0" fillId="9" borderId="9" xfId="0" applyFill="1" applyBorder="1" applyAlignment="1">
      <alignment horizontal="center"/>
    </xf>
    <xf numFmtId="0" fontId="0" fillId="9" borderId="21" xfId="0" applyFill="1" applyBorder="1" applyAlignment="1">
      <alignment horizontal="center" vertical="center"/>
    </xf>
    <xf numFmtId="0" fontId="0" fillId="9" borderId="22" xfId="0" applyFill="1" applyBorder="1" applyAlignment="1">
      <alignment horizontal="center" vertical="center"/>
    </xf>
    <xf numFmtId="0" fontId="0" fillId="9" borderId="17" xfId="0" applyFill="1" applyBorder="1" applyAlignment="1">
      <alignment horizontal="center" vertical="center"/>
    </xf>
    <xf numFmtId="0" fontId="0" fillId="9" borderId="20" xfId="0" applyFill="1" applyBorder="1" applyAlignment="1">
      <alignment horizontal="center" vertical="center"/>
    </xf>
    <xf numFmtId="0" fontId="0" fillId="9" borderId="18" xfId="0" applyFill="1" applyBorder="1" applyAlignment="1">
      <alignment horizontal="center" vertical="center"/>
    </xf>
    <xf numFmtId="0" fontId="0" fillId="9" borderId="19" xfId="0" applyFill="1" applyBorder="1" applyAlignment="1">
      <alignment horizontal="center" vertical="center"/>
    </xf>
    <xf numFmtId="0" fontId="10" fillId="8" borderId="11" xfId="0" applyFont="1" applyFill="1" applyBorder="1" applyAlignment="1">
      <alignment horizontal="center" vertical="center"/>
    </xf>
    <xf numFmtId="0" fontId="0" fillId="9" borderId="21" xfId="0" applyFill="1" applyBorder="1" applyAlignment="1">
      <alignment horizontal="center"/>
    </xf>
    <xf numFmtId="0" fontId="0" fillId="9" borderId="17" xfId="0" applyFill="1" applyBorder="1" applyAlignment="1">
      <alignment horizontal="center"/>
    </xf>
    <xf numFmtId="14" fontId="0" fillId="9" borderId="20" xfId="0" applyNumberFormat="1" applyFill="1" applyBorder="1" applyAlignment="1">
      <alignment horizontal="center"/>
    </xf>
    <xf numFmtId="0" fontId="5" fillId="5" borderId="6" xfId="0" applyFont="1" applyFill="1" applyBorder="1" applyAlignment="1">
      <alignment horizontal="center"/>
    </xf>
    <xf numFmtId="0" fontId="5" fillId="5" borderId="0" xfId="0" applyFont="1" applyFill="1" applyAlignment="1">
      <alignment horizontal="center"/>
    </xf>
    <xf numFmtId="0" fontId="6" fillId="6" borderId="6" xfId="0" applyFont="1" applyFill="1" applyBorder="1" applyAlignment="1">
      <alignment horizontal="center"/>
    </xf>
    <xf numFmtId="0" fontId="6" fillId="6" borderId="0" xfId="0" applyFont="1" applyFill="1" applyAlignment="1">
      <alignment horizontal="center"/>
    </xf>
  </cellXfs>
  <cellStyles count="2">
    <cellStyle name="Monétaire" xfId="1" builtinId="4"/>
    <cellStyle name="Normal" xfId="0" builtinId="0"/>
  </cellStyles>
  <dxfs count="23">
    <dxf>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border diagonalUp="0" diagonalDown="0">
        <left/>
        <right style="thin">
          <color theme="4"/>
        </right>
        <top style="thin">
          <color theme="4"/>
        </top>
        <bottom/>
        <vertical/>
        <horizontal/>
      </border>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lgerian"/>
        <scheme val="none"/>
      </font>
    </dxf>
  </dxfs>
  <tableStyles count="0" defaultTableStyle="TableStyleMedium2" defaultPivotStyle="PivotStyleLight16"/>
  <colors>
    <mruColors>
      <color rgb="FFFFFFCC"/>
      <color rgb="FFE5C127"/>
      <color rgb="FFFFCC66"/>
      <color rgb="FFA63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4</xdr:col>
      <xdr:colOff>518160</xdr:colOff>
      <xdr:row>1</xdr:row>
      <xdr:rowOff>152400</xdr:rowOff>
    </xdr:from>
    <xdr:to>
      <xdr:col>12</xdr:col>
      <xdr:colOff>769620</xdr:colOff>
      <xdr:row>9</xdr:row>
      <xdr:rowOff>144780</xdr:rowOff>
    </xdr:to>
    <xdr:sp macro="" textlink="">
      <xdr:nvSpPr>
        <xdr:cNvPr id="2" name="Rectangle à coins arrondis 1">
          <a:extLst>
            <a:ext uri="{FF2B5EF4-FFF2-40B4-BE49-F238E27FC236}">
              <a16:creationId xmlns="" xmlns:a16="http://schemas.microsoft.com/office/drawing/2014/main" id="{00000000-0008-0000-0000-000002000000}"/>
            </a:ext>
          </a:extLst>
        </xdr:cNvPr>
        <xdr:cNvSpPr/>
      </xdr:nvSpPr>
      <xdr:spPr>
        <a:xfrm>
          <a:off x="3688080" y="335280"/>
          <a:ext cx="6591300" cy="1455420"/>
        </a:xfrm>
        <a:prstGeom prst="roundRect">
          <a:avLst/>
        </a:prstGeom>
        <a:solidFill>
          <a:schemeClr val="accent4"/>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701040</xdr:colOff>
      <xdr:row>2</xdr:row>
      <xdr:rowOff>152400</xdr:rowOff>
    </xdr:from>
    <xdr:to>
      <xdr:col>12</xdr:col>
      <xdr:colOff>594360</xdr:colOff>
      <xdr:row>9</xdr:row>
      <xdr:rowOff>30480</xdr:rowOff>
    </xdr:to>
    <xdr:sp macro="" textlink="">
      <xdr:nvSpPr>
        <xdr:cNvPr id="3" name="ZoneTexte 2">
          <a:extLst>
            <a:ext uri="{FF2B5EF4-FFF2-40B4-BE49-F238E27FC236}">
              <a16:creationId xmlns="" xmlns:a16="http://schemas.microsoft.com/office/drawing/2014/main" id="{00000000-0008-0000-0000-000003000000}"/>
            </a:ext>
          </a:extLst>
        </xdr:cNvPr>
        <xdr:cNvSpPr txBox="1"/>
      </xdr:nvSpPr>
      <xdr:spPr>
        <a:xfrm>
          <a:off x="3870960" y="518160"/>
          <a:ext cx="6233160" cy="1158240"/>
        </a:xfrm>
        <a:prstGeom prst="rect">
          <a:avLst/>
        </a:prstGeom>
        <a:solidFill>
          <a:schemeClr val="accent4"/>
        </a:solidFill>
        <a:ln w="28575" cmpd="sng">
          <a:solidFill>
            <a:schemeClr val="bg2">
              <a:lumMod val="9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3600" b="1" baseline="0">
              <a:solidFill>
                <a:schemeClr val="bg1"/>
              </a:solidFill>
              <a:latin typeface="Times New Roman" pitchFamily="18" charset="0"/>
              <a:cs typeface="Times New Roman" pitchFamily="18" charset="0"/>
            </a:rPr>
            <a:t>ATLAS CORPORATION</a:t>
          </a:r>
          <a:endParaRPr lang="fr-FR" sz="3600" b="1">
            <a:solidFill>
              <a:schemeClr val="bg1"/>
            </a:solidFill>
            <a:latin typeface="Times New Roman" pitchFamily="18" charset="0"/>
            <a:cs typeface="Times New Roman" pitchFamily="18" charset="0"/>
          </a:endParaRPr>
        </a:p>
      </xdr:txBody>
    </xdr:sp>
    <xdr:clientData/>
  </xdr:twoCellAnchor>
  <xdr:twoCellAnchor>
    <xdr:from>
      <xdr:col>4</xdr:col>
      <xdr:colOff>266700</xdr:colOff>
      <xdr:row>16</xdr:row>
      <xdr:rowOff>15240</xdr:rowOff>
    </xdr:from>
    <xdr:to>
      <xdr:col>13</xdr:col>
      <xdr:colOff>205740</xdr:colOff>
      <xdr:row>29</xdr:row>
      <xdr:rowOff>114300</xdr:rowOff>
    </xdr:to>
    <xdr:grpSp>
      <xdr:nvGrpSpPr>
        <xdr:cNvPr id="7" name="Groupe 6">
          <a:extLst>
            <a:ext uri="{FF2B5EF4-FFF2-40B4-BE49-F238E27FC236}">
              <a16:creationId xmlns="" xmlns:a16="http://schemas.microsoft.com/office/drawing/2014/main" id="{00000000-0008-0000-0000-000007000000}"/>
            </a:ext>
          </a:extLst>
        </xdr:cNvPr>
        <xdr:cNvGrpSpPr/>
      </xdr:nvGrpSpPr>
      <xdr:grpSpPr>
        <a:xfrm>
          <a:off x="3436620" y="2941320"/>
          <a:ext cx="7071360" cy="2476500"/>
          <a:chOff x="3436620" y="2941320"/>
          <a:chExt cx="7071360" cy="2476500"/>
        </a:xfrm>
      </xdr:grpSpPr>
      <xdr:sp macro="" textlink="">
        <xdr:nvSpPr>
          <xdr:cNvPr id="4" name="Rectangle à coins arrondis 3">
            <a:extLst>
              <a:ext uri="{FF2B5EF4-FFF2-40B4-BE49-F238E27FC236}">
                <a16:creationId xmlns="" xmlns:a16="http://schemas.microsoft.com/office/drawing/2014/main" id="{00000000-0008-0000-0000-000004000000}"/>
              </a:ext>
            </a:extLst>
          </xdr:cNvPr>
          <xdr:cNvSpPr/>
        </xdr:nvSpPr>
        <xdr:spPr>
          <a:xfrm>
            <a:off x="3436620" y="2941320"/>
            <a:ext cx="7071360" cy="2476500"/>
          </a:xfrm>
          <a:prstGeom prst="roundRect">
            <a:avLst/>
          </a:prstGeom>
          <a:solidFill>
            <a:schemeClr val="tx2">
              <a:lumMod val="60000"/>
              <a:lumOff val="40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 name="ZoneTexte 4">
            <a:extLst>
              <a:ext uri="{FF2B5EF4-FFF2-40B4-BE49-F238E27FC236}">
                <a16:creationId xmlns="" xmlns:a16="http://schemas.microsoft.com/office/drawing/2014/main" id="{00000000-0008-0000-0000-000005000000}"/>
              </a:ext>
            </a:extLst>
          </xdr:cNvPr>
          <xdr:cNvSpPr txBox="1"/>
        </xdr:nvSpPr>
        <xdr:spPr>
          <a:xfrm>
            <a:off x="4053840" y="3208020"/>
            <a:ext cx="2446020" cy="396240"/>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2" algn="ctr"/>
            <a:r>
              <a:rPr lang="fr-FR" sz="1400" b="1" u="sng">
                <a:latin typeface="Times New Roman" pitchFamily="18" charset="0"/>
                <a:cs typeface="Times New Roman" pitchFamily="18" charset="0"/>
              </a:rPr>
              <a:t>UTILISATEUR :</a:t>
            </a:r>
          </a:p>
        </xdr:txBody>
      </xdr:sp>
      <xdr:sp macro="" textlink="">
        <xdr:nvSpPr>
          <xdr:cNvPr id="6" name="ZoneTexte 5">
            <a:extLst>
              <a:ext uri="{FF2B5EF4-FFF2-40B4-BE49-F238E27FC236}">
                <a16:creationId xmlns="" xmlns:a16="http://schemas.microsoft.com/office/drawing/2014/main" id="{00000000-0008-0000-0000-000006000000}"/>
              </a:ext>
            </a:extLst>
          </xdr:cNvPr>
          <xdr:cNvSpPr txBox="1"/>
        </xdr:nvSpPr>
        <xdr:spPr>
          <a:xfrm>
            <a:off x="4770120" y="4008120"/>
            <a:ext cx="1859280" cy="251460"/>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b="1" u="sng">
                <a:latin typeface="Times New Roman" pitchFamily="18" charset="0"/>
                <a:cs typeface="Times New Roman" pitchFamily="18" charset="0"/>
              </a:rPr>
              <a:t>MOT DE PASSE :</a:t>
            </a:r>
          </a:p>
        </xdr:txBody>
      </xdr:sp>
      <mc:AlternateContent xmlns:mc="http://schemas.openxmlformats.org/markup-compatibility/2006">
        <mc:Choice xmlns:a14="http://schemas.microsoft.com/office/drawing/2010/main" Requires="a14">
          <xdr:sp macro="" textlink="">
            <xdr:nvSpPr>
              <xdr:cNvPr id="1025" name="Txt_user" hidden="1">
                <a:extLst>
                  <a:ext uri="{63B3BB69-23CF-44E3-9099-C40C66FF867C}">
                    <a14:compatExt spid="_x0000_s1025"/>
                  </a:ext>
                </a:extLst>
              </xdr:cNvPr>
              <xdr:cNvSpPr/>
            </xdr:nvSpPr>
            <xdr:spPr>
              <a:xfrm>
                <a:off x="6614160" y="3238500"/>
                <a:ext cx="2560320" cy="34290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1026" name="Txt_mdp" hidden="1">
                <a:extLst>
                  <a:ext uri="{63B3BB69-23CF-44E3-9099-C40C66FF867C}">
                    <a14:compatExt spid="_x0000_s1026"/>
                  </a:ext>
                </a:extLst>
              </xdr:cNvPr>
              <xdr:cNvSpPr/>
            </xdr:nvSpPr>
            <xdr:spPr>
              <a:xfrm>
                <a:off x="6637020" y="3970020"/>
                <a:ext cx="2560320" cy="34290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1027" name="CommandButton1" hidden="1">
                <a:extLst>
                  <a:ext uri="{63B3BB69-23CF-44E3-9099-C40C66FF867C}">
                    <a14:compatExt spid="_x0000_s1027"/>
                  </a:ext>
                </a:extLst>
              </xdr:cNvPr>
              <xdr:cNvSpPr/>
            </xdr:nvSpPr>
            <xdr:spPr>
              <a:xfrm>
                <a:off x="8747760" y="4831080"/>
                <a:ext cx="1463040" cy="396240"/>
              </a:xfrm>
              <a:prstGeom prst="rect">
                <a:avLst/>
              </a:prstGeom>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16</xdr:col>
          <xdr:colOff>472440</xdr:colOff>
          <xdr:row>1</xdr:row>
          <xdr:rowOff>7620</xdr:rowOff>
        </xdr:from>
        <xdr:to>
          <xdr:col>17</xdr:col>
          <xdr:colOff>594360</xdr:colOff>
          <xdr:row>3</xdr:row>
          <xdr:rowOff>53340</xdr:rowOff>
        </xdr:to>
        <xdr:sp macro="" textlink="">
          <xdr:nvSpPr>
            <xdr:cNvPr id="1028" name="CommandButton2"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670560</xdr:colOff>
      <xdr:row>1</xdr:row>
      <xdr:rowOff>38100</xdr:rowOff>
    </xdr:from>
    <xdr:to>
      <xdr:col>13</xdr:col>
      <xdr:colOff>487680</xdr:colOff>
      <xdr:row>8</xdr:row>
      <xdr:rowOff>113766</xdr:rowOff>
    </xdr:to>
    <xdr:grpSp>
      <xdr:nvGrpSpPr>
        <xdr:cNvPr id="6" name="Groupe 5">
          <a:extLst>
            <a:ext uri="{FF2B5EF4-FFF2-40B4-BE49-F238E27FC236}">
              <a16:creationId xmlns="" xmlns:a16="http://schemas.microsoft.com/office/drawing/2014/main" id="{00000000-0008-0000-0100-000006000000}"/>
            </a:ext>
          </a:extLst>
        </xdr:cNvPr>
        <xdr:cNvGrpSpPr/>
      </xdr:nvGrpSpPr>
      <xdr:grpSpPr>
        <a:xfrm>
          <a:off x="2956560" y="220980"/>
          <a:ext cx="7437120" cy="1355826"/>
          <a:chOff x="3048000" y="220980"/>
          <a:chExt cx="7741920" cy="1355826"/>
        </a:xfrm>
      </xdr:grpSpPr>
      <xdr:sp macro="" textlink="">
        <xdr:nvSpPr>
          <xdr:cNvPr id="2" name="Rectangle à coins arrondis 1">
            <a:extLst>
              <a:ext uri="{FF2B5EF4-FFF2-40B4-BE49-F238E27FC236}">
                <a16:creationId xmlns="" xmlns:a16="http://schemas.microsoft.com/office/drawing/2014/main" id="{00000000-0008-0000-0100-000002000000}"/>
              </a:ext>
            </a:extLst>
          </xdr:cNvPr>
          <xdr:cNvSpPr/>
        </xdr:nvSpPr>
        <xdr:spPr>
          <a:xfrm>
            <a:off x="3048000" y="220980"/>
            <a:ext cx="7741920" cy="1355826"/>
          </a:xfrm>
          <a:prstGeom prst="roundRect">
            <a:avLst/>
          </a:prstGeom>
          <a:solidFill>
            <a:schemeClr val="accent4"/>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 name="ZoneTexte 2">
            <a:extLst>
              <a:ext uri="{FF2B5EF4-FFF2-40B4-BE49-F238E27FC236}">
                <a16:creationId xmlns="" xmlns:a16="http://schemas.microsoft.com/office/drawing/2014/main" id="{00000000-0008-0000-0100-000003000000}"/>
              </a:ext>
            </a:extLst>
          </xdr:cNvPr>
          <xdr:cNvSpPr txBox="1"/>
        </xdr:nvSpPr>
        <xdr:spPr>
          <a:xfrm>
            <a:off x="3284220" y="411480"/>
            <a:ext cx="7368540" cy="1013460"/>
          </a:xfrm>
          <a:prstGeom prst="rect">
            <a:avLst/>
          </a:prstGeom>
          <a:solidFill>
            <a:schemeClr val="accent4"/>
          </a:solidFill>
          <a:ln w="19050"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fr-FR" sz="3600" b="1" baseline="0">
                <a:solidFill>
                  <a:schemeClr val="bg1"/>
                </a:solidFill>
                <a:effectLst/>
                <a:latin typeface="Times New Roman" pitchFamily="18" charset="0"/>
                <a:ea typeface="+mn-ea"/>
                <a:cs typeface="Times New Roman" pitchFamily="18" charset="0"/>
              </a:rPr>
              <a:t>ATLAS CORPORATION</a:t>
            </a:r>
            <a:endParaRPr lang="fr-FR" sz="3600">
              <a:solidFill>
                <a:schemeClr val="bg1"/>
              </a:solidFill>
              <a:effectLst/>
              <a:latin typeface="Times New Roman" pitchFamily="18" charset="0"/>
              <a:cs typeface="Times New Roman" pitchFamily="18" charset="0"/>
            </a:endParaRPr>
          </a:p>
          <a:p>
            <a:pPr algn="ctr"/>
            <a:endParaRPr lang="fr-FR"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91440</xdr:rowOff>
        </xdr:from>
        <xdr:to>
          <xdr:col>1</xdr:col>
          <xdr:colOff>617220</xdr:colOff>
          <xdr:row>2</xdr:row>
          <xdr:rowOff>144780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twoCellAnchor>
    <xdr:from>
      <xdr:col>4</xdr:col>
      <xdr:colOff>24273</xdr:colOff>
      <xdr:row>14</xdr:row>
      <xdr:rowOff>168083</xdr:rowOff>
    </xdr:from>
    <xdr:to>
      <xdr:col>13</xdr:col>
      <xdr:colOff>519573</xdr:colOff>
      <xdr:row>30</xdr:row>
      <xdr:rowOff>39998</xdr:rowOff>
    </xdr:to>
    <xdr:sp macro="" textlink="">
      <xdr:nvSpPr>
        <xdr:cNvPr id="4" name="Rectangle 3">
          <a:extLst>
            <a:ext uri="{FF2B5EF4-FFF2-40B4-BE49-F238E27FC236}">
              <a16:creationId xmlns="" xmlns:a16="http://schemas.microsoft.com/office/drawing/2014/main" id="{00000000-0008-0000-0100-000004000000}"/>
            </a:ext>
          </a:extLst>
        </xdr:cNvPr>
        <xdr:cNvSpPr/>
      </xdr:nvSpPr>
      <xdr:spPr>
        <a:xfrm>
          <a:off x="3072273" y="2728403"/>
          <a:ext cx="7353300" cy="2797995"/>
        </a:xfrm>
        <a:prstGeom prst="rect">
          <a:avLst/>
        </a:prstGeom>
        <a:solidFill>
          <a:schemeClr val="accent4">
            <a:lumMod val="50000"/>
          </a:schemeClr>
        </a:solidFill>
        <a:ln w="28575">
          <a:solidFill>
            <a:schemeClr val="bg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1100"/>
        </a:p>
      </xdr:txBody>
    </xdr:sp>
    <xdr:clientData/>
  </xdr:twoCellAnchor>
  <xdr:twoCellAnchor>
    <xdr:from>
      <xdr:col>4</xdr:col>
      <xdr:colOff>121920</xdr:colOff>
      <xdr:row>15</xdr:row>
      <xdr:rowOff>0</xdr:rowOff>
    </xdr:from>
    <xdr:to>
      <xdr:col>13</xdr:col>
      <xdr:colOff>411480</xdr:colOff>
      <xdr:row>18</xdr:row>
      <xdr:rowOff>60960</xdr:rowOff>
    </xdr:to>
    <xdr:sp macro="" textlink="">
      <xdr:nvSpPr>
        <xdr:cNvPr id="5" name="ZoneTexte 4">
          <a:extLst>
            <a:ext uri="{FF2B5EF4-FFF2-40B4-BE49-F238E27FC236}">
              <a16:creationId xmlns="" xmlns:a16="http://schemas.microsoft.com/office/drawing/2014/main" id="{00000000-0008-0000-0100-000005000000}"/>
            </a:ext>
          </a:extLst>
        </xdr:cNvPr>
        <xdr:cNvSpPr txBox="1"/>
      </xdr:nvSpPr>
      <xdr:spPr>
        <a:xfrm>
          <a:off x="3291840" y="2743200"/>
          <a:ext cx="7421880" cy="609600"/>
        </a:xfrm>
        <a:prstGeom prst="rect">
          <a:avLst/>
        </a:prstGeom>
        <a:solidFill>
          <a:schemeClr val="accent4">
            <a:lumMod val="50000"/>
          </a:schemeClr>
        </a:solidFill>
        <a:ln w="19050"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400">
              <a:solidFill>
                <a:schemeClr val="bg1"/>
              </a:solidFill>
              <a:latin typeface="+mj-lt"/>
            </a:rPr>
            <a:t>Tableau</a:t>
          </a:r>
          <a:r>
            <a:rPr lang="fr-FR" sz="2400" baseline="0">
              <a:solidFill>
                <a:schemeClr val="bg1"/>
              </a:solidFill>
              <a:latin typeface="+mj-lt"/>
            </a:rPr>
            <a:t> de bord de L'administrateur</a:t>
          </a:r>
          <a:endParaRPr lang="fr-FR" sz="2400">
            <a:solidFill>
              <a:schemeClr val="bg1"/>
            </a:solidFill>
            <a:latin typeface="+mj-lt"/>
          </a:endParaRPr>
        </a:p>
      </xdr:txBody>
    </xdr:sp>
    <xdr:clientData/>
  </xdr:twoCellAnchor>
  <mc:AlternateContent xmlns:mc="http://schemas.openxmlformats.org/markup-compatibility/2006">
    <mc:Choice xmlns:a14="http://schemas.microsoft.com/office/drawing/2010/main" Requires="a14">
      <xdr:twoCellAnchor editAs="oneCell">
        <xdr:from>
          <xdr:col>4</xdr:col>
          <xdr:colOff>205740</xdr:colOff>
          <xdr:row>19</xdr:row>
          <xdr:rowOff>53340</xdr:rowOff>
        </xdr:from>
        <xdr:to>
          <xdr:col>6</xdr:col>
          <xdr:colOff>678180</xdr:colOff>
          <xdr:row>21</xdr:row>
          <xdr:rowOff>106680</xdr:rowOff>
        </xdr:to>
        <xdr:sp macro="" textlink="">
          <xdr:nvSpPr>
            <xdr:cNvPr id="2050" name="Admin_bulleti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396240</xdr:colOff>
          <xdr:row>19</xdr:row>
          <xdr:rowOff>60960</xdr:rowOff>
        </xdr:from>
        <xdr:to>
          <xdr:col>10</xdr:col>
          <xdr:colOff>121920</xdr:colOff>
          <xdr:row>21</xdr:row>
          <xdr:rowOff>114300</xdr:rowOff>
        </xdr:to>
        <xdr:sp macro="" textlink="">
          <xdr:nvSpPr>
            <xdr:cNvPr id="2052" name="Presences"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419100</xdr:colOff>
          <xdr:row>19</xdr:row>
          <xdr:rowOff>53340</xdr:rowOff>
        </xdr:from>
        <xdr:to>
          <xdr:col>13</xdr:col>
          <xdr:colOff>487680</xdr:colOff>
          <xdr:row>21</xdr:row>
          <xdr:rowOff>129540</xdr:rowOff>
        </xdr:to>
        <xdr:sp macro="" textlink="">
          <xdr:nvSpPr>
            <xdr:cNvPr id="2054" name="Creation_de_compte"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205740</xdr:colOff>
          <xdr:row>24</xdr:row>
          <xdr:rowOff>175260</xdr:rowOff>
        </xdr:from>
        <xdr:to>
          <xdr:col>6</xdr:col>
          <xdr:colOff>739140</xdr:colOff>
          <xdr:row>27</xdr:row>
          <xdr:rowOff>60960</xdr:rowOff>
        </xdr:to>
        <xdr:sp macro="" textlink="">
          <xdr:nvSpPr>
            <xdr:cNvPr id="2055" name="CommandButton2"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419100</xdr:colOff>
          <xdr:row>24</xdr:row>
          <xdr:rowOff>152400</xdr:rowOff>
        </xdr:from>
        <xdr:to>
          <xdr:col>13</xdr:col>
          <xdr:colOff>487680</xdr:colOff>
          <xdr:row>27</xdr:row>
          <xdr:rowOff>38100</xdr:rowOff>
        </xdr:to>
        <xdr:sp macro="" textlink="">
          <xdr:nvSpPr>
            <xdr:cNvPr id="2056" name="CommandButton3"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403860</xdr:colOff>
          <xdr:row>24</xdr:row>
          <xdr:rowOff>167640</xdr:rowOff>
        </xdr:from>
        <xdr:to>
          <xdr:col>10</xdr:col>
          <xdr:colOff>129540</xdr:colOff>
          <xdr:row>27</xdr:row>
          <xdr:rowOff>53340</xdr:rowOff>
        </xdr:to>
        <xdr:sp macro="" textlink="">
          <xdr:nvSpPr>
            <xdr:cNvPr id="2057" name="CommandButton4"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609600</xdr:colOff>
          <xdr:row>5</xdr:row>
          <xdr:rowOff>113211</xdr:rowOff>
        </xdr:from>
        <xdr:to>
          <xdr:col>11</xdr:col>
          <xdr:colOff>437606</xdr:colOff>
          <xdr:row>7</xdr:row>
          <xdr:rowOff>150223</xdr:rowOff>
        </xdr:to>
        <xdr:sp macro="" textlink="">
          <xdr:nvSpPr>
            <xdr:cNvPr id="6145" name="retour"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xdr:twoCellAnchor>
    <xdr:from>
      <xdr:col>2</xdr:col>
      <xdr:colOff>190500</xdr:colOff>
      <xdr:row>4</xdr:row>
      <xdr:rowOff>7620</xdr:rowOff>
    </xdr:from>
    <xdr:to>
      <xdr:col>4</xdr:col>
      <xdr:colOff>1173480</xdr:colOff>
      <xdr:row>4</xdr:row>
      <xdr:rowOff>68580</xdr:rowOff>
    </xdr:to>
    <xdr:sp macro="" textlink="">
      <xdr:nvSpPr>
        <xdr:cNvPr id="2" name="Rectangle 1"/>
        <xdr:cNvSpPr/>
      </xdr:nvSpPr>
      <xdr:spPr>
        <a:xfrm>
          <a:off x="1981200" y="746760"/>
          <a:ext cx="3116580" cy="60960"/>
        </a:xfrm>
        <a:prstGeom prst="rect">
          <a:avLst/>
        </a:prstGeom>
        <a:solidFill>
          <a:srgbClr val="E5C12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oneCell">
        <xdr:from>
          <xdr:col>9</xdr:col>
          <xdr:colOff>335280</xdr:colOff>
          <xdr:row>8</xdr:row>
          <xdr:rowOff>167640</xdr:rowOff>
        </xdr:from>
        <xdr:to>
          <xdr:col>11</xdr:col>
          <xdr:colOff>757646</xdr:colOff>
          <xdr:row>10</xdr:row>
          <xdr:rowOff>214449</xdr:rowOff>
        </xdr:to>
        <xdr:sp macro="" textlink="">
          <xdr:nvSpPr>
            <xdr:cNvPr id="6153" name="CommandButton1" hidden="1">
              <a:extLst>
                <a:ext uri="{63B3BB69-23CF-44E3-9099-C40C66FF867C}">
                  <a14:compatExt spid="_x0000_s61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670560</xdr:colOff>
      <xdr:row>1</xdr:row>
      <xdr:rowOff>38100</xdr:rowOff>
    </xdr:from>
    <xdr:to>
      <xdr:col>13</xdr:col>
      <xdr:colOff>487680</xdr:colOff>
      <xdr:row>8</xdr:row>
      <xdr:rowOff>113766</xdr:rowOff>
    </xdr:to>
    <xdr:grpSp>
      <xdr:nvGrpSpPr>
        <xdr:cNvPr id="2" name="Groupe 1">
          <a:extLst>
            <a:ext uri="{FF2B5EF4-FFF2-40B4-BE49-F238E27FC236}">
              <a16:creationId xmlns="" xmlns:a16="http://schemas.microsoft.com/office/drawing/2014/main" id="{00000000-0008-0000-0400-000002000000}"/>
            </a:ext>
          </a:extLst>
        </xdr:cNvPr>
        <xdr:cNvGrpSpPr/>
      </xdr:nvGrpSpPr>
      <xdr:grpSpPr>
        <a:xfrm>
          <a:off x="3048000" y="220980"/>
          <a:ext cx="7741920" cy="1355826"/>
          <a:chOff x="3048000" y="220980"/>
          <a:chExt cx="7741920" cy="1355826"/>
        </a:xfrm>
      </xdr:grpSpPr>
      <xdr:sp macro="" textlink="">
        <xdr:nvSpPr>
          <xdr:cNvPr id="3" name="Rectangle à coins arrondis 2">
            <a:extLst>
              <a:ext uri="{FF2B5EF4-FFF2-40B4-BE49-F238E27FC236}">
                <a16:creationId xmlns="" xmlns:a16="http://schemas.microsoft.com/office/drawing/2014/main" id="{00000000-0008-0000-0400-000003000000}"/>
              </a:ext>
            </a:extLst>
          </xdr:cNvPr>
          <xdr:cNvSpPr/>
        </xdr:nvSpPr>
        <xdr:spPr>
          <a:xfrm>
            <a:off x="3048000" y="220980"/>
            <a:ext cx="7741920" cy="1355826"/>
          </a:xfrm>
          <a:prstGeom prst="roundRect">
            <a:avLst/>
          </a:prstGeom>
          <a:solidFill>
            <a:schemeClr val="bg2">
              <a:lumMod val="50000"/>
            </a:schemeClr>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 name="ZoneTexte 3">
            <a:extLst>
              <a:ext uri="{FF2B5EF4-FFF2-40B4-BE49-F238E27FC236}">
                <a16:creationId xmlns="" xmlns:a16="http://schemas.microsoft.com/office/drawing/2014/main" id="{00000000-0008-0000-0400-000004000000}"/>
              </a:ext>
            </a:extLst>
          </xdr:cNvPr>
          <xdr:cNvSpPr txBox="1"/>
        </xdr:nvSpPr>
        <xdr:spPr>
          <a:xfrm>
            <a:off x="3284220" y="411480"/>
            <a:ext cx="7368540" cy="1013460"/>
          </a:xfrm>
          <a:prstGeom prst="rect">
            <a:avLst/>
          </a:prstGeom>
          <a:solidFill>
            <a:schemeClr val="bg2">
              <a:lumMod val="75000"/>
            </a:schemeClr>
          </a:solidFill>
          <a:ln w="19050" cmpd="sng">
            <a:solidFill>
              <a:schemeClr val="bg2">
                <a:lumMod val="9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fr-FR" sz="3600" b="1" baseline="0">
                <a:solidFill>
                  <a:schemeClr val="bg1"/>
                </a:solidFill>
                <a:effectLst/>
                <a:latin typeface="Times New Roman" pitchFamily="18" charset="0"/>
                <a:ea typeface="+mn-ea"/>
                <a:cs typeface="Times New Roman" pitchFamily="18" charset="0"/>
              </a:rPr>
              <a:t>ATLAS CORPORATION</a:t>
            </a:r>
            <a:endParaRPr lang="fr-FR" sz="3600">
              <a:solidFill>
                <a:schemeClr val="bg1"/>
              </a:solidFill>
              <a:effectLst/>
              <a:latin typeface="Times New Roman" pitchFamily="18" charset="0"/>
              <a:cs typeface="Times New Roman" pitchFamily="18" charset="0"/>
            </a:endParaRPr>
          </a:p>
          <a:p>
            <a:pPr algn="ctr"/>
            <a:endParaRPr lang="fr-FR" sz="1100"/>
          </a:p>
        </xdr:txBody>
      </xdr:sp>
    </xdr:grpSp>
    <xdr:clientData/>
  </xdr:twoCellAnchor>
  <xdr:twoCellAnchor>
    <xdr:from>
      <xdr:col>3</xdr:col>
      <xdr:colOff>350520</xdr:colOff>
      <xdr:row>11</xdr:row>
      <xdr:rowOff>121920</xdr:rowOff>
    </xdr:from>
    <xdr:to>
      <xdr:col>14</xdr:col>
      <xdr:colOff>22860</xdr:colOff>
      <xdr:row>28</xdr:row>
      <xdr:rowOff>114300</xdr:rowOff>
    </xdr:to>
    <xdr:sp macro="" textlink="">
      <xdr:nvSpPr>
        <xdr:cNvPr id="5" name="Rectangle 4">
          <a:extLst>
            <a:ext uri="{FF2B5EF4-FFF2-40B4-BE49-F238E27FC236}">
              <a16:creationId xmlns="" xmlns:a16="http://schemas.microsoft.com/office/drawing/2014/main" id="{00000000-0008-0000-0400-000005000000}"/>
            </a:ext>
          </a:extLst>
        </xdr:cNvPr>
        <xdr:cNvSpPr/>
      </xdr:nvSpPr>
      <xdr:spPr>
        <a:xfrm>
          <a:off x="2727960" y="2133600"/>
          <a:ext cx="8389620" cy="3101340"/>
        </a:xfrm>
        <a:prstGeom prst="rect">
          <a:avLst/>
        </a:prstGeom>
        <a:solidFill>
          <a:schemeClr val="tx1">
            <a:lumMod val="50000"/>
            <a:lumOff val="50000"/>
          </a:schemeClr>
        </a:solidFill>
        <a:ln w="28575">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685800</xdr:colOff>
      <xdr:row>14</xdr:row>
      <xdr:rowOff>7620</xdr:rowOff>
    </xdr:from>
    <xdr:to>
      <xdr:col>12</xdr:col>
      <xdr:colOff>762000</xdr:colOff>
      <xdr:row>15</xdr:row>
      <xdr:rowOff>175260</xdr:rowOff>
    </xdr:to>
    <xdr:sp macro="" textlink="">
      <xdr:nvSpPr>
        <xdr:cNvPr id="6" name="ZoneTexte 5">
          <a:extLst>
            <a:ext uri="{FF2B5EF4-FFF2-40B4-BE49-F238E27FC236}">
              <a16:creationId xmlns="" xmlns:a16="http://schemas.microsoft.com/office/drawing/2014/main" id="{00000000-0008-0000-0400-000006000000}"/>
            </a:ext>
          </a:extLst>
        </xdr:cNvPr>
        <xdr:cNvSpPr txBox="1"/>
      </xdr:nvSpPr>
      <xdr:spPr>
        <a:xfrm>
          <a:off x="3855720" y="2567940"/>
          <a:ext cx="6416040" cy="35052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600">
              <a:latin typeface="Times New Roman" pitchFamily="18" charset="0"/>
              <a:cs typeface="Times New Roman" pitchFamily="18" charset="0"/>
            </a:rPr>
            <a:t>Fenêtre de gestion du</a:t>
          </a:r>
          <a:r>
            <a:rPr lang="fr-FR" sz="1600" baseline="0">
              <a:latin typeface="Times New Roman" pitchFamily="18" charset="0"/>
              <a:cs typeface="Times New Roman" pitchFamily="18" charset="0"/>
            </a:rPr>
            <a:t> personnel employé</a:t>
          </a:r>
          <a:endParaRPr lang="fr-FR" sz="1600">
            <a:latin typeface="Times New Roman" pitchFamily="18" charset="0"/>
            <a:cs typeface="Times New Roman"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137160</xdr:colOff>
          <xdr:row>0</xdr:row>
          <xdr:rowOff>99060</xdr:rowOff>
        </xdr:from>
        <xdr:to>
          <xdr:col>1</xdr:col>
          <xdr:colOff>670560</xdr:colOff>
          <xdr:row>2</xdr:row>
          <xdr:rowOff>76200</xdr:rowOff>
        </xdr:to>
        <xdr:sp macro="" textlink="">
          <xdr:nvSpPr>
            <xdr:cNvPr id="5122" name="CommandButton1"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784860</xdr:colOff>
          <xdr:row>18</xdr:row>
          <xdr:rowOff>129540</xdr:rowOff>
        </xdr:from>
        <xdr:to>
          <xdr:col>6</xdr:col>
          <xdr:colOff>449580</xdr:colOff>
          <xdr:row>21</xdr:row>
          <xdr:rowOff>99060</xdr:rowOff>
        </xdr:to>
        <xdr:sp macro="" textlink="">
          <xdr:nvSpPr>
            <xdr:cNvPr id="5123" name="CommandButton2"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18</xdr:row>
          <xdr:rowOff>83820</xdr:rowOff>
        </xdr:from>
        <xdr:to>
          <xdr:col>13</xdr:col>
          <xdr:colOff>541020</xdr:colOff>
          <xdr:row>21</xdr:row>
          <xdr:rowOff>91440</xdr:rowOff>
        </xdr:to>
        <xdr:sp macro="" textlink="">
          <xdr:nvSpPr>
            <xdr:cNvPr id="5126" name="CommandButton3" hidden="1">
              <a:extLst>
                <a:ext uri="{63B3BB69-23CF-44E3-9099-C40C66FF867C}">
                  <a14:compatExt spid="_x0000_s512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30480</xdr:colOff>
      <xdr:row>0</xdr:row>
      <xdr:rowOff>91440</xdr:rowOff>
    </xdr:from>
    <xdr:to>
      <xdr:col>7</xdr:col>
      <xdr:colOff>236220</xdr:colOff>
      <xdr:row>37</xdr:row>
      <xdr:rowOff>160020</xdr:rowOff>
    </xdr:to>
    <xdr:sp macro="" textlink="">
      <xdr:nvSpPr>
        <xdr:cNvPr id="2" name="ZoneTexte 1"/>
        <xdr:cNvSpPr txBox="1"/>
      </xdr:nvSpPr>
      <xdr:spPr>
        <a:xfrm>
          <a:off x="30480" y="91440"/>
          <a:ext cx="5753100" cy="6835140"/>
        </a:xfrm>
        <a:prstGeom prst="rect">
          <a:avLst/>
        </a:prstGeom>
        <a:solidFill>
          <a:schemeClr val="bg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endParaRPr lang="fr-FR" sz="1100"/>
        </a:p>
        <a:p>
          <a:pPr lvl="0"/>
          <a:r>
            <a:rPr lang="fr-FR" sz="1100" b="1" u="none">
              <a:solidFill>
                <a:schemeClr val="dk1"/>
              </a:solidFill>
              <a:effectLst/>
              <a:latin typeface="+mn-lt"/>
              <a:ea typeface="+mn-ea"/>
              <a:cs typeface="+mn-cs"/>
            </a:rPr>
            <a:t>		 </a:t>
          </a:r>
          <a:r>
            <a:rPr lang="fr-FR" sz="1600" b="1" u="sng">
              <a:solidFill>
                <a:schemeClr val="dk1"/>
              </a:solidFill>
              <a:effectLst/>
              <a:latin typeface="Times New Roman" pitchFamily="18" charset="0"/>
              <a:ea typeface="+mn-ea"/>
              <a:cs typeface="Times New Roman" pitchFamily="18" charset="0"/>
            </a:rPr>
            <a:t>Page de connexion </a:t>
          </a:r>
          <a:endParaRPr lang="fr-FR" sz="1600">
            <a:solidFill>
              <a:schemeClr val="dk1"/>
            </a:solidFill>
            <a:effectLst/>
            <a:latin typeface="Times New Roman" pitchFamily="18" charset="0"/>
            <a:ea typeface="+mn-ea"/>
            <a:cs typeface="Times New Roman" pitchFamily="18" charset="0"/>
          </a:endParaRPr>
        </a:p>
        <a:p>
          <a:r>
            <a:rPr lang="fr-FR" sz="1100" b="1" u="none" strike="noStrike">
              <a:solidFill>
                <a:schemeClr val="dk1"/>
              </a:solidFill>
              <a:effectLst/>
              <a:latin typeface="+mn-lt"/>
              <a:ea typeface="+mn-ea"/>
              <a:cs typeface="+mn-cs"/>
            </a:rPr>
            <a:t> </a:t>
          </a:r>
          <a:endParaRPr lang="fr-FR" sz="1100">
            <a:solidFill>
              <a:schemeClr val="dk1"/>
            </a:solidFill>
            <a:effectLst/>
            <a:latin typeface="+mn-lt"/>
            <a:ea typeface="+mn-ea"/>
            <a:cs typeface="+mn-cs"/>
          </a:endParaRPr>
        </a:p>
        <a:p>
          <a:pPr algn="ctr"/>
          <a:r>
            <a:rPr lang="fr-FR" sz="1200" b="1" u="none">
              <a:solidFill>
                <a:schemeClr val="dk1"/>
              </a:solidFill>
              <a:effectLst/>
              <a:latin typeface="+mn-lt"/>
              <a:ea typeface="+mn-ea"/>
              <a:cs typeface="+mn-cs"/>
            </a:rPr>
            <a:t>Le premier interface de l’application  de gestion du personnel  Atlas Corporation est la page de connexion qui permet à l’utilisateur d’accéder au différentes facette de l’application. Cette interface est composé d’un espace utilisateur et d’un autre mot de passe ou le client va entrer les données de son compte (respectivement le nom d’utilisateur et le mot de passe). </a:t>
          </a:r>
          <a:endParaRPr lang="fr-FR" sz="1200" u="none">
            <a:solidFill>
              <a:schemeClr val="dk1"/>
            </a:solidFill>
            <a:effectLst/>
            <a:latin typeface="+mn-lt"/>
            <a:ea typeface="+mn-ea"/>
            <a:cs typeface="+mn-cs"/>
          </a:endParaRPr>
        </a:p>
        <a:p>
          <a:pPr algn="ctr"/>
          <a:r>
            <a:rPr lang="fr-FR" sz="1200" b="1" u="none">
              <a:solidFill>
                <a:schemeClr val="dk1"/>
              </a:solidFill>
              <a:effectLst/>
              <a:latin typeface="+mn-lt"/>
              <a:ea typeface="+mn-ea"/>
              <a:cs typeface="+mn-cs"/>
            </a:rPr>
            <a:t>L’application reconnait deux types de comptes,  le compte administrateur qui sera celui du superviseur et celui courant qui sera celui du personnel ; selon les donnéés entrée l’application redirigera directement le client vers son compte</a:t>
          </a:r>
          <a:endParaRPr lang="fr-FR" sz="1200" u="none">
            <a:solidFill>
              <a:schemeClr val="dk1"/>
            </a:solidFill>
            <a:effectLst/>
            <a:latin typeface="+mn-lt"/>
            <a:ea typeface="+mn-ea"/>
            <a:cs typeface="+mn-cs"/>
          </a:endParaRPr>
        </a:p>
        <a:p>
          <a:pPr algn="ctr"/>
          <a:r>
            <a:rPr lang="fr-FR" sz="1200" b="1" u="none">
              <a:solidFill>
                <a:schemeClr val="dk1"/>
              </a:solidFill>
              <a:effectLst/>
              <a:latin typeface="+mn-lt"/>
              <a:ea typeface="+mn-ea"/>
              <a:cs typeface="+mn-cs"/>
            </a:rPr>
            <a:t>Le nom d’utilisateur et le mot de passe par défaut du compte courant est : Mvogo ; 7777</a:t>
          </a:r>
          <a:endParaRPr lang="fr-FR" sz="1200" u="none">
            <a:solidFill>
              <a:schemeClr val="dk1"/>
            </a:solidFill>
            <a:effectLst/>
            <a:latin typeface="+mn-lt"/>
            <a:ea typeface="+mn-ea"/>
            <a:cs typeface="+mn-cs"/>
          </a:endParaRPr>
        </a:p>
        <a:p>
          <a:pPr algn="ctr"/>
          <a:r>
            <a:rPr lang="fr-FR" sz="1200" b="1" u="none">
              <a:solidFill>
                <a:schemeClr val="dk1"/>
              </a:solidFill>
              <a:effectLst/>
              <a:latin typeface="+mn-lt"/>
              <a:ea typeface="+mn-ea"/>
              <a:cs typeface="+mn-cs"/>
            </a:rPr>
            <a:t>Le nom d’utilisateur et le mot de passe par défaut du compte courant est : Zuber ; 9999</a:t>
          </a:r>
          <a:endParaRPr lang="fr-FR" sz="1200" u="none">
            <a:solidFill>
              <a:schemeClr val="dk1"/>
            </a:solidFill>
            <a:effectLst/>
            <a:latin typeface="+mn-lt"/>
            <a:ea typeface="+mn-ea"/>
            <a:cs typeface="+mn-cs"/>
          </a:endParaRPr>
        </a:p>
        <a:p>
          <a:pPr algn="ctr"/>
          <a:r>
            <a:rPr lang="fr-FR" sz="1200" b="1" u="none" strike="noStrike">
              <a:solidFill>
                <a:schemeClr val="dk1"/>
              </a:solidFill>
              <a:effectLst/>
              <a:latin typeface="+mn-lt"/>
              <a:ea typeface="+mn-ea"/>
              <a:cs typeface="+mn-cs"/>
            </a:rPr>
            <a:t> </a:t>
          </a:r>
          <a:endParaRPr lang="fr-FR" sz="1200" u="none">
            <a:solidFill>
              <a:schemeClr val="dk1"/>
            </a:solidFill>
            <a:effectLst/>
            <a:latin typeface="+mn-lt"/>
            <a:ea typeface="+mn-ea"/>
            <a:cs typeface="+mn-cs"/>
          </a:endParaRPr>
        </a:p>
        <a:p>
          <a:r>
            <a:rPr lang="fr-FR" sz="1100" b="1" u="sng">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r>
            <a:rPr lang="fr-FR" sz="1800" b="1" u="none">
              <a:solidFill>
                <a:schemeClr val="dk1"/>
              </a:solidFill>
              <a:effectLst/>
              <a:latin typeface="Times New Roman" pitchFamily="18" charset="0"/>
              <a:ea typeface="+mn-ea"/>
              <a:cs typeface="Times New Roman" pitchFamily="18" charset="0"/>
            </a:rPr>
            <a:t>	</a:t>
          </a:r>
          <a:r>
            <a:rPr lang="fr-FR" sz="1800" b="1" u="none" baseline="0">
              <a:solidFill>
                <a:schemeClr val="dk1"/>
              </a:solidFill>
              <a:effectLst/>
              <a:latin typeface="Times New Roman" pitchFamily="18" charset="0"/>
              <a:ea typeface="+mn-ea"/>
              <a:cs typeface="Times New Roman" pitchFamily="18" charset="0"/>
            </a:rPr>
            <a:t>        </a:t>
          </a:r>
          <a:r>
            <a:rPr lang="fr-FR" sz="1800" b="1" u="sng">
              <a:solidFill>
                <a:schemeClr val="dk1"/>
              </a:solidFill>
              <a:effectLst/>
              <a:latin typeface="Times New Roman" pitchFamily="18" charset="0"/>
              <a:ea typeface="+mn-ea"/>
              <a:cs typeface="Times New Roman" pitchFamily="18" charset="0"/>
            </a:rPr>
            <a:t>L’interface compte courant</a:t>
          </a:r>
          <a:endParaRPr lang="fr-FR" sz="1800">
            <a:solidFill>
              <a:schemeClr val="dk1"/>
            </a:solidFill>
            <a:effectLst/>
            <a:latin typeface="Times New Roman" pitchFamily="18" charset="0"/>
            <a:ea typeface="+mn-ea"/>
            <a:cs typeface="Times New Roman" pitchFamily="18" charset="0"/>
          </a:endParaRPr>
        </a:p>
        <a:p>
          <a:r>
            <a:rPr lang="fr-FR" sz="1800" b="1" u="none" strike="noStrike">
              <a:solidFill>
                <a:schemeClr val="dk1"/>
              </a:solidFill>
              <a:effectLst/>
              <a:latin typeface="Times New Roman" pitchFamily="18" charset="0"/>
              <a:ea typeface="+mn-ea"/>
              <a:cs typeface="Times New Roman" pitchFamily="18" charset="0"/>
            </a:rPr>
            <a:t> </a:t>
          </a:r>
          <a:endParaRPr lang="fr-FR" sz="1800">
            <a:solidFill>
              <a:schemeClr val="dk1"/>
            </a:solidFill>
            <a:effectLst/>
            <a:latin typeface="Times New Roman" pitchFamily="18" charset="0"/>
            <a:ea typeface="+mn-ea"/>
            <a:cs typeface="Times New Roman" pitchFamily="18" charset="0"/>
          </a:endParaRPr>
        </a:p>
        <a:p>
          <a:pPr algn="ctr"/>
          <a:r>
            <a:rPr lang="fr-FR" sz="1200" b="1" u="none">
              <a:solidFill>
                <a:schemeClr val="dk1"/>
              </a:solidFill>
              <a:effectLst/>
              <a:latin typeface="+mn-lt"/>
              <a:ea typeface="+mn-ea"/>
              <a:cs typeface="+mn-cs"/>
            </a:rPr>
            <a:t>Elle est constitué d’une fenêtre employé qui elle-même est constituée de deux boutons donc celui de gestion des congés ou les différentes demande d’absence sont faites par le personnel et le bouton de vision des demandes ou le personnel va voir ci leur demandes a été traité ou si elle comporte des erreurs</a:t>
          </a:r>
          <a:endParaRPr lang="fr-FR" sz="1200" u="none">
            <a:solidFill>
              <a:schemeClr val="dk1"/>
            </a:solidFill>
            <a:effectLst/>
            <a:latin typeface="+mn-lt"/>
            <a:ea typeface="+mn-ea"/>
            <a:cs typeface="+mn-cs"/>
          </a:endParaRPr>
        </a:p>
        <a:p>
          <a:pPr algn="ctr"/>
          <a:r>
            <a:rPr lang="fr-FR" sz="1200" b="1" u="none" strike="noStrike">
              <a:solidFill>
                <a:schemeClr val="dk1"/>
              </a:solidFill>
              <a:effectLst/>
              <a:latin typeface="+mn-lt"/>
              <a:ea typeface="+mn-ea"/>
              <a:cs typeface="+mn-cs"/>
            </a:rPr>
            <a:t> </a:t>
          </a:r>
          <a:endParaRPr lang="fr-FR" sz="1200" u="none">
            <a:solidFill>
              <a:schemeClr val="dk1"/>
            </a:solidFill>
            <a:effectLst/>
            <a:latin typeface="+mn-lt"/>
            <a:ea typeface="+mn-ea"/>
            <a:cs typeface="+mn-cs"/>
          </a:endParaRPr>
        </a:p>
        <a:p>
          <a:pPr lvl="0" algn="ctr"/>
          <a:r>
            <a:rPr lang="fr-FR" sz="1400" b="1" u="sng">
              <a:solidFill>
                <a:schemeClr val="dk1"/>
              </a:solidFill>
              <a:effectLst/>
              <a:latin typeface="Times New Roman" pitchFamily="18" charset="0"/>
              <a:ea typeface="+mn-ea"/>
              <a:cs typeface="Times New Roman" pitchFamily="18" charset="0"/>
            </a:rPr>
            <a:t>L’interface compte Administrateur ou superviseur</a:t>
          </a:r>
          <a:endParaRPr lang="fr-FR" sz="1400" b="1">
            <a:solidFill>
              <a:schemeClr val="dk1"/>
            </a:solidFill>
            <a:effectLst/>
            <a:latin typeface="Times New Roman" pitchFamily="18" charset="0"/>
            <a:ea typeface="+mn-ea"/>
            <a:cs typeface="Times New Roman" pitchFamily="18" charset="0"/>
          </a:endParaRPr>
        </a:p>
        <a:p>
          <a:pPr algn="ctr"/>
          <a:r>
            <a:rPr lang="fr-FR" sz="1200" b="1" u="none">
              <a:solidFill>
                <a:schemeClr val="dk1"/>
              </a:solidFill>
              <a:effectLst/>
              <a:latin typeface="+mn-lt"/>
              <a:ea typeface="+mn-ea"/>
              <a:cs typeface="+mn-cs"/>
            </a:rPr>
            <a:t>Tout comme l’interface compte personnel celle-ci comporte une fenêtre Admin ou différent bouton relatant les fonctions du superviseur sont placées.</a:t>
          </a:r>
          <a:endParaRPr lang="fr-FR" sz="1200" u="none">
            <a:solidFill>
              <a:schemeClr val="dk1"/>
            </a:solidFill>
            <a:effectLst/>
            <a:latin typeface="+mn-lt"/>
            <a:ea typeface="+mn-ea"/>
            <a:cs typeface="+mn-cs"/>
          </a:endParaRPr>
        </a:p>
        <a:p>
          <a:pPr algn="ctr"/>
          <a:r>
            <a:rPr lang="fr-FR" sz="1200" b="1" u="none">
              <a:solidFill>
                <a:schemeClr val="dk1"/>
              </a:solidFill>
              <a:effectLst/>
              <a:latin typeface="+mn-lt"/>
              <a:ea typeface="+mn-ea"/>
              <a:cs typeface="+mn-cs"/>
            </a:rPr>
            <a:t>Nous avons comme instance :</a:t>
          </a:r>
          <a:endParaRPr lang="fr-FR" sz="1200" u="none">
            <a:solidFill>
              <a:schemeClr val="dk1"/>
            </a:solidFill>
            <a:effectLst/>
            <a:latin typeface="+mn-lt"/>
            <a:ea typeface="+mn-ea"/>
            <a:cs typeface="+mn-cs"/>
          </a:endParaRPr>
        </a:p>
        <a:p>
          <a:pPr lvl="0" algn="ctr"/>
          <a:r>
            <a:rPr lang="fr-FR" sz="1200" b="1" u="none">
              <a:solidFill>
                <a:schemeClr val="dk1"/>
              </a:solidFill>
              <a:effectLst/>
              <a:latin typeface="+mn-lt"/>
              <a:ea typeface="+mn-ea"/>
              <a:cs typeface="+mn-cs"/>
            </a:rPr>
            <a:t>le bouton de présence qui sert à recenser la présence du personnel durant tout leur jour de travail assigné  </a:t>
          </a:r>
          <a:endParaRPr lang="fr-FR" sz="1200" u="none">
            <a:solidFill>
              <a:schemeClr val="dk1"/>
            </a:solidFill>
            <a:effectLst/>
            <a:latin typeface="+mn-lt"/>
            <a:ea typeface="+mn-ea"/>
            <a:cs typeface="+mn-cs"/>
          </a:endParaRPr>
        </a:p>
        <a:p>
          <a:pPr lvl="0" algn="ctr"/>
          <a:r>
            <a:rPr lang="fr-FR" sz="1200" b="1" u="none">
              <a:solidFill>
                <a:schemeClr val="dk1"/>
              </a:solidFill>
              <a:effectLst/>
              <a:latin typeface="+mn-lt"/>
              <a:ea typeface="+mn-ea"/>
              <a:cs typeface="+mn-cs"/>
            </a:rPr>
            <a:t>Le bouton de traitement des demandes ou le superviseur  valide ou non les demandes de congé ou d’absence émises par les employés</a:t>
          </a:r>
          <a:endParaRPr lang="fr-FR" sz="1200" u="none">
            <a:solidFill>
              <a:schemeClr val="dk1"/>
            </a:solidFill>
            <a:effectLst/>
            <a:latin typeface="+mn-lt"/>
            <a:ea typeface="+mn-ea"/>
            <a:cs typeface="+mn-cs"/>
          </a:endParaRPr>
        </a:p>
        <a:p>
          <a:pPr lvl="0" algn="ctr"/>
          <a:r>
            <a:rPr lang="fr-FR" sz="1200" b="1" u="none">
              <a:solidFill>
                <a:schemeClr val="dk1"/>
              </a:solidFill>
              <a:effectLst/>
              <a:latin typeface="+mn-lt"/>
              <a:ea typeface="+mn-ea"/>
              <a:cs typeface="+mn-cs"/>
            </a:rPr>
            <a:t>Le bouton bulletin de paie qui sert au superviseur à générer automatiquement une fiche de paie à son employé en fonction de son taux régulier à l’heure et de sa période de travail</a:t>
          </a:r>
          <a:endParaRPr lang="fr-FR" sz="1200" u="none">
            <a:solidFill>
              <a:schemeClr val="dk1"/>
            </a:solidFill>
            <a:effectLst/>
            <a:latin typeface="+mn-lt"/>
            <a:ea typeface="+mn-ea"/>
            <a:cs typeface="+mn-cs"/>
          </a:endParaRPr>
        </a:p>
        <a:p>
          <a:pPr algn="ctr"/>
          <a:endParaRPr lang="fr-FR" sz="1200" u="none"/>
        </a:p>
      </xdr:txBody>
    </xdr:sp>
    <xdr:clientData/>
  </xdr:twoCellAnchor>
  <mc:AlternateContent xmlns:mc="http://schemas.openxmlformats.org/markup-compatibility/2006">
    <mc:Choice xmlns:a14="http://schemas.microsoft.com/office/drawing/2010/main" Requires="a14">
      <xdr:twoCellAnchor editAs="oneCell">
        <xdr:from>
          <xdr:col>10</xdr:col>
          <xdr:colOff>45720</xdr:colOff>
          <xdr:row>2</xdr:row>
          <xdr:rowOff>0</xdr:rowOff>
        </xdr:from>
        <xdr:to>
          <xdr:col>11</xdr:col>
          <xdr:colOff>419100</xdr:colOff>
          <xdr:row>3</xdr:row>
          <xdr:rowOff>160020</xdr:rowOff>
        </xdr:to>
        <xdr:sp macro="" textlink="">
          <xdr:nvSpPr>
            <xdr:cNvPr id="8193" name="CommandButton1" hidden="1">
              <a:extLst>
                <a:ext uri="{63B3BB69-23CF-44E3-9099-C40C66FF867C}">
                  <a14:compatExt spid="_x0000_s8193"/>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2" name="Employe" displayName="Employe" ref="A1:I29" totalsRowShown="0">
  <autoFilter ref="A1:I29"/>
  <tableColumns count="9">
    <tableColumn id="1" name="Noms et Prenoms"/>
    <tableColumn id="2" name="Matricule"/>
    <tableColumn id="3" name="Fonction"/>
    <tableColumn id="4" name="Sexe"/>
    <tableColumn id="5" name="Email"/>
    <tableColumn id="6" name="Numero de telephone"/>
    <tableColumn id="7" name="Periode de travail"/>
    <tableColumn id="8" name="Heures Travaillées"/>
    <tableColumn id="9" name="Taux régulier"/>
  </tableColumns>
  <tableStyleInfo name="TableStyleLight9" showFirstColumn="0" showLastColumn="0" showRowStripes="1" showColumnStripes="0"/>
</table>
</file>

<file path=xl/tables/table2.xml><?xml version="1.0" encoding="utf-8"?>
<table xmlns="http://schemas.openxmlformats.org/spreadsheetml/2006/main" id="1" name="Comptes" displayName="Comptes" ref="A1:C14" totalsRowShown="0" headerRowDxfId="22">
  <autoFilter ref="A1:C14"/>
  <tableColumns count="3">
    <tableColumn id="1" name="Users" dataDxfId="21"/>
    <tableColumn id="2" name="Mot de passe" dataDxfId="20"/>
    <tableColumn id="3" name="Categorie" dataDxfId="19"/>
  </tableColumns>
  <tableStyleInfo name="TableStyleMedium2" showFirstColumn="0" showLastColumn="0" showRowStripes="1" showColumnStripes="0"/>
</table>
</file>

<file path=xl/tables/table3.xml><?xml version="1.0" encoding="utf-8"?>
<table xmlns="http://schemas.openxmlformats.org/spreadsheetml/2006/main" id="3" name="Superviseur" displayName="Superviseur" ref="A1:F4" totalsRowShown="0" headerRowDxfId="18" tableBorderDxfId="17">
  <autoFilter ref="A1:F4"/>
  <tableColumns count="6">
    <tableColumn id="1" name="Noms"/>
    <tableColumn id="2" name="Prenoms"/>
    <tableColumn id="3" name="Matricule"/>
    <tableColumn id="4" name="Sexe"/>
    <tableColumn id="6" name="Email"/>
    <tableColumn id="7" name="Numero"/>
  </tableColumns>
  <tableStyleInfo name="TableStyleLight9" showFirstColumn="0" showLastColumn="0" showRowStripes="1" showColumnStripes="0"/>
</table>
</file>

<file path=xl/tables/table4.xml><?xml version="1.0" encoding="utf-8"?>
<table xmlns="http://schemas.openxmlformats.org/spreadsheetml/2006/main" id="4" name="Demande" displayName="Demande" ref="A1:H11" totalsRowShown="0" headerRowDxfId="16" tableBorderDxfId="15">
  <autoFilter ref="A1:H11"/>
  <tableColumns count="8">
    <tableColumn id="1" name="Noms et Prenoms"/>
    <tableColumn id="2" name="Matricule"/>
    <tableColumn id="3" name="Motifs"/>
    <tableColumn id="4" name="Periode"/>
    <tableColumn id="5" name="Duree"/>
    <tableColumn id="6" name="Date de la demande"/>
    <tableColumn id="7" name="Signature"/>
    <tableColumn id="8" name="Decision"/>
  </tableColumns>
  <tableStyleInfo name="TableStyleLight9" showFirstColumn="0" showLastColumn="0" showRowStripes="1" showColumnStripes="0"/>
</table>
</file>

<file path=xl/tables/table5.xml><?xml version="1.0" encoding="utf-8"?>
<table xmlns="http://schemas.openxmlformats.org/spreadsheetml/2006/main" id="13" name="Sexe" displayName="Sexe" ref="A1:A3" totalsRowShown="0">
  <autoFilter ref="A1:A3"/>
  <tableColumns count="1">
    <tableColumn id="1" name="Sexe"/>
  </tableColumns>
  <tableStyleInfo name="TableStyleLight9" showFirstColumn="0" showLastColumn="0" showRowStripes="1" showColumnStripes="0"/>
</table>
</file>

<file path=xl/tables/table6.xml><?xml version="1.0" encoding="utf-8"?>
<table xmlns="http://schemas.openxmlformats.org/spreadsheetml/2006/main" id="14" name="Motifs" displayName="Motifs" ref="B1:B13" totalsRowShown="0" dataDxfId="14">
  <autoFilter ref="B1:B13"/>
  <tableColumns count="1">
    <tableColumn id="1" name="Motifs" dataDxfId="13"/>
  </tableColumns>
  <tableStyleInfo name="TableStyleLight9" showFirstColumn="0" showLastColumn="0" showRowStripes="1" showColumnStripes="0"/>
</table>
</file>

<file path=xl/tables/table7.xml><?xml version="1.0" encoding="utf-8"?>
<table xmlns="http://schemas.openxmlformats.org/spreadsheetml/2006/main" id="15" name="Periode" displayName="Periode" ref="C1:C13" totalsRowShown="0" dataDxfId="12">
  <autoFilter ref="C1:C13"/>
  <tableColumns count="1">
    <tableColumn id="1" name="Periode" dataDxfId="11"/>
  </tableColumns>
  <tableStyleInfo name="TableStyleLight9" showFirstColumn="0" showLastColumn="0" showRowStripes="1" showColumnStripes="0"/>
</table>
</file>

<file path=xl/tables/table8.xml><?xml version="1.0" encoding="utf-8"?>
<table xmlns="http://schemas.openxmlformats.org/spreadsheetml/2006/main" id="16" name="Fonction" displayName="Fonction" ref="D1:D13" totalsRowShown="0">
  <autoFilter ref="D1:D13"/>
  <tableColumns count="1">
    <tableColumn id="1" name="Fonction"/>
  </tableColumns>
  <tableStyleInfo name="TableStyleLight9" showFirstColumn="0" showLastColumn="0" showRowStripes="1" showColumnStripes="0"/>
</table>
</file>

<file path=xl/tables/table9.xml><?xml version="1.0" encoding="utf-8"?>
<table xmlns="http://schemas.openxmlformats.org/spreadsheetml/2006/main" id="17" name="Decision" displayName="Decision" ref="E1:E3" totalsRowShown="0">
  <autoFilter ref="E1:E3"/>
  <tableColumns count="1">
    <tableColumn id="1" name="Decision"/>
  </tableColumns>
  <tableStyleInfo name="TableStyleLight9" showFirstColumn="0" showLastColumn="0" showRowStripes="1" showColumnStripes="0"/>
</table>
</file>

<file path=xl/tables/table10.xml><?xml version="1.0" encoding="utf-8"?>
<table xmlns="http://schemas.openxmlformats.org/spreadsheetml/2006/main" id="10" name="Matrimoniale" displayName="Matrimoniale" ref="F1:F7" totalsRowShown="0">
  <autoFilter ref="F1:F7"/>
  <tableColumns count="1">
    <tableColumn id="1" name="Situation Matrimoniale"/>
  </tableColumns>
  <tableStyleInfo name="TableStyleLight10" showFirstColumn="0" showLastColumn="0" showRowStripes="1" showColumnStripes="0"/>
</table>
</file>

<file path=xl/tables/table11.xml><?xml version="1.0" encoding="utf-8"?>
<table xmlns="http://schemas.openxmlformats.org/spreadsheetml/2006/main" id="11" name="Ville" displayName="Ville" ref="H1:H7" totalsRowShown="0">
  <autoFilter ref="H1:H7"/>
  <tableColumns count="1">
    <tableColumn id="1" name="Ville"/>
  </tableColumns>
  <tableStyleInfo name="TableStyleLight10" showFirstColumn="0" showLastColumn="0" showRowStripes="1" showColumnStripes="0"/>
</table>
</file>

<file path=xl/tables/table12.xml><?xml version="1.0" encoding="utf-8"?>
<table xmlns="http://schemas.openxmlformats.org/spreadsheetml/2006/main" id="12" name="Echelon" displayName="Echelon" ref="F10:F16" totalsRowShown="0">
  <autoFilter ref="F10:F16"/>
  <tableColumns count="1">
    <tableColumn id="1" name="Catégorie Echelon"/>
  </tableColumns>
  <tableStyleInfo name="TableStyleLight10" showFirstColumn="0" showLastColumn="0" showRowStripes="1" showColumnStripes="0"/>
</table>
</file>

<file path=xl/tables/table13.xml><?xml version="1.0" encoding="utf-8"?>
<table xmlns="http://schemas.openxmlformats.org/spreadsheetml/2006/main" id="7" name="présence" displayName="présence" ref="A3:I7" totalsRowShown="0" headerRowDxfId="10" dataDxfId="9">
  <autoFilter ref="A3:I7"/>
  <tableColumns count="9">
    <tableColumn id="8" name="MAT" dataDxfId="8"/>
    <tableColumn id="1" name="NOM" dataDxfId="7"/>
    <tableColumn id="2" name="LUNDI" dataDxfId="6"/>
    <tableColumn id="3" name="MARDI" dataDxfId="5"/>
    <tableColumn id="4" name="MERCREDI" dataDxfId="4"/>
    <tableColumn id="5" name="JEUDI" dataDxfId="3"/>
    <tableColumn id="6" name="VENDREDI" dataDxfId="2"/>
    <tableColumn id="7" name="SAMEDI" dataDxfId="1"/>
    <tableColumn id="9" name="TOTAL SEMAINE" dataDxfId="0">
      <calculatedColumnFormula>COUNTIF(présence[[#This Row],[LUNDI]:[SAMEDI]],"FAUX")</calculatedColumnFormula>
    </tableColumn>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9.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11.xml"/><Relationship Id="rId1" Type="http://schemas.openxmlformats.org/officeDocument/2006/relationships/printerSettings" Target="../printerSettings/printerSettings1.bin"/><Relationship Id="rId6" Type="http://schemas.openxmlformats.org/officeDocument/2006/relationships/control" Target="../activeX/activeX6.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6.emf"/><Relationship Id="rId14"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13.xml"/><Relationship Id="rId5" Type="http://schemas.openxmlformats.org/officeDocument/2006/relationships/image" Target="../media/image11.emf"/><Relationship Id="rId4" Type="http://schemas.openxmlformats.org/officeDocument/2006/relationships/control" Target="../activeX/activeX12.xml"/></Relationships>
</file>

<file path=xl/worksheets/_rels/sheet6.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4.emf"/><Relationship Id="rId5" Type="http://schemas.openxmlformats.org/officeDocument/2006/relationships/control" Target="../activeX/activeX15.xml"/><Relationship Id="rId4" Type="http://schemas.openxmlformats.org/officeDocument/2006/relationships/image" Target="../media/image13.emf"/></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table" Target="../tables/table5.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I4"/>
  <sheetViews>
    <sheetView workbookViewId="0">
      <selection activeCell="J17" sqref="J17"/>
    </sheetView>
  </sheetViews>
  <sheetFormatPr baseColWidth="10" defaultColWidth="20.44140625" defaultRowHeight="14.4" x14ac:dyDescent="0.3"/>
  <cols>
    <col min="6" max="6" width="27.21875" customWidth="1"/>
    <col min="7" max="7" width="31.21875" customWidth="1"/>
  </cols>
  <sheetData>
    <row r="1" spans="1:9" x14ac:dyDescent="0.3">
      <c r="A1" t="s">
        <v>10</v>
      </c>
      <c r="B1" t="s">
        <v>11</v>
      </c>
      <c r="C1" t="s">
        <v>12</v>
      </c>
      <c r="D1" t="s">
        <v>13</v>
      </c>
      <c r="E1" t="s">
        <v>7</v>
      </c>
      <c r="F1" t="s">
        <v>14</v>
      </c>
      <c r="G1" t="s">
        <v>77</v>
      </c>
      <c r="H1" t="s">
        <v>107</v>
      </c>
      <c r="I1" t="s">
        <v>108</v>
      </c>
    </row>
    <row r="2" spans="1:9" x14ac:dyDescent="0.3">
      <c r="A2" t="s">
        <v>50</v>
      </c>
      <c r="B2" t="s">
        <v>51</v>
      </c>
      <c r="C2" t="s">
        <v>5</v>
      </c>
      <c r="D2" t="s">
        <v>21</v>
      </c>
      <c r="G2" t="s">
        <v>110</v>
      </c>
      <c r="H2">
        <v>140</v>
      </c>
      <c r="I2">
        <v>1400</v>
      </c>
    </row>
    <row r="3" spans="1:9" x14ac:dyDescent="0.3">
      <c r="A3" t="s">
        <v>72</v>
      </c>
      <c r="B3" t="s">
        <v>73</v>
      </c>
      <c r="C3" t="s">
        <v>5</v>
      </c>
      <c r="D3" t="s">
        <v>16</v>
      </c>
      <c r="F3">
        <v>69822544</v>
      </c>
      <c r="G3" t="s">
        <v>114</v>
      </c>
      <c r="H3">
        <v>140</v>
      </c>
      <c r="I3">
        <v>500</v>
      </c>
    </row>
    <row r="4" spans="1:9" x14ac:dyDescent="0.3">
      <c r="A4" t="s">
        <v>95</v>
      </c>
      <c r="B4" t="s">
        <v>96</v>
      </c>
      <c r="C4" t="s">
        <v>5</v>
      </c>
      <c r="D4" t="s">
        <v>21</v>
      </c>
      <c r="F4">
        <v>695425415</v>
      </c>
      <c r="G4" t="s">
        <v>118</v>
      </c>
      <c r="H4">
        <v>140</v>
      </c>
      <c r="I4">
        <v>1400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A29"/>
  <sheetViews>
    <sheetView tabSelected="1" topLeftCell="A2" zoomScaleNormal="100" workbookViewId="0">
      <selection activeCell="E14" sqref="E14"/>
    </sheetView>
  </sheetViews>
  <sheetFormatPr baseColWidth="10" defaultRowHeight="14.4" x14ac:dyDescent="0.3"/>
  <cols>
    <col min="1" max="16384" width="11.5546875" style="1"/>
  </cols>
  <sheetData>
    <row r="1" ht="14.55" x14ac:dyDescent="0.4"/>
    <row r="2" ht="14.55" x14ac:dyDescent="0.4"/>
    <row r="3" ht="14.55" x14ac:dyDescent="0.4"/>
    <row r="4" ht="14.55" x14ac:dyDescent="0.4"/>
    <row r="5" ht="14.55" x14ac:dyDescent="0.4"/>
    <row r="6" ht="14.55" x14ac:dyDescent="0.4"/>
    <row r="7" ht="14.55" x14ac:dyDescent="0.4"/>
    <row r="8" ht="14.55" x14ac:dyDescent="0.4"/>
    <row r="9" ht="14.55" x14ac:dyDescent="0.4"/>
    <row r="10" ht="14.55" x14ac:dyDescent="0.4"/>
    <row r="11" ht="14.55" x14ac:dyDescent="0.4"/>
    <row r="12" ht="14.55" x14ac:dyDescent="0.4"/>
    <row r="13" ht="14.55" x14ac:dyDescent="0.4"/>
    <row r="14" ht="14.55" x14ac:dyDescent="0.4"/>
    <row r="15" ht="14.55" x14ac:dyDescent="0.4"/>
    <row r="16" ht="14.55" x14ac:dyDescent="0.4"/>
    <row r="17" ht="14.55" x14ac:dyDescent="0.4"/>
    <row r="18" ht="14.55" x14ac:dyDescent="0.4"/>
    <row r="19" ht="14.55" x14ac:dyDescent="0.4"/>
    <row r="20" ht="14.55" x14ac:dyDescent="0.4"/>
    <row r="21" ht="14.55" x14ac:dyDescent="0.4"/>
    <row r="22" ht="14.55" x14ac:dyDescent="0.4"/>
    <row r="23" ht="14.55" x14ac:dyDescent="0.4"/>
    <row r="24" ht="14.55" x14ac:dyDescent="0.4"/>
    <row r="25" ht="14.55" x14ac:dyDescent="0.4"/>
    <row r="26" ht="14.55" x14ac:dyDescent="0.4"/>
    <row r="27" ht="14.55" x14ac:dyDescent="0.4"/>
    <row r="28" ht="14.55" x14ac:dyDescent="0.4"/>
    <row r="29" ht="14.55" x14ac:dyDescent="0.4"/>
  </sheetData>
  <sheetProtection password="CC3D" sheet="1" objects="1" scenarios="1"/>
  <pageMargins left="0.7" right="0.7" top="0.75" bottom="0.75" header="0.3" footer="0.3"/>
  <drawing r:id="rId1"/>
  <legacyDrawing r:id="rId2"/>
  <controls>
    <mc:AlternateContent xmlns:mc="http://schemas.openxmlformats.org/markup-compatibility/2006">
      <mc:Choice Requires="x14">
        <control shapeId="1027" r:id="rId3" name="CommandButton1">
          <controlPr defaultSize="0" autoLine="0" autoPict="0" r:id="rId4">
            <anchor moveWithCells="1">
              <from>
                <xdr:col>11</xdr:col>
                <xdr:colOff>30480</xdr:colOff>
                <xdr:row>26</xdr:row>
                <xdr:rowOff>76200</xdr:rowOff>
              </from>
              <to>
                <xdr:col>12</xdr:col>
                <xdr:colOff>701040</xdr:colOff>
                <xdr:row>28</xdr:row>
                <xdr:rowOff>106680</xdr:rowOff>
              </to>
            </anchor>
          </controlPr>
        </control>
      </mc:Choice>
      <mc:Fallback>
        <control shapeId="1027" r:id="rId3" name="CommandButton1"/>
      </mc:Fallback>
    </mc:AlternateContent>
    <mc:AlternateContent xmlns:mc="http://schemas.openxmlformats.org/markup-compatibility/2006">
      <mc:Choice Requires="x14">
        <control shapeId="1026" r:id="rId5" name="Txt_mdp">
          <controlPr defaultSize="0" autoLine="0" autoPict="0" r:id="rId6">
            <anchor moveWithCells="1">
              <from>
                <xdr:col>8</xdr:col>
                <xdr:colOff>297180</xdr:colOff>
                <xdr:row>21</xdr:row>
                <xdr:rowOff>129540</xdr:rowOff>
              </from>
              <to>
                <xdr:col>11</xdr:col>
                <xdr:colOff>480060</xdr:colOff>
                <xdr:row>23</xdr:row>
                <xdr:rowOff>106680</xdr:rowOff>
              </to>
            </anchor>
          </controlPr>
        </control>
      </mc:Choice>
      <mc:Fallback>
        <control shapeId="1026" r:id="rId5" name="Txt_mdp"/>
      </mc:Fallback>
    </mc:AlternateContent>
    <mc:AlternateContent xmlns:mc="http://schemas.openxmlformats.org/markup-compatibility/2006">
      <mc:Choice Requires="x14">
        <control shapeId="1025" r:id="rId7" name="Txt_user">
          <controlPr defaultSize="0" autoLine="0" autoPict="0" r:id="rId6">
            <anchor moveWithCells="1">
              <from>
                <xdr:col>8</xdr:col>
                <xdr:colOff>274320</xdr:colOff>
                <xdr:row>17</xdr:row>
                <xdr:rowOff>129540</xdr:rowOff>
              </from>
              <to>
                <xdr:col>11</xdr:col>
                <xdr:colOff>457200</xdr:colOff>
                <xdr:row>19</xdr:row>
                <xdr:rowOff>106680</xdr:rowOff>
              </to>
            </anchor>
          </controlPr>
        </control>
      </mc:Choice>
      <mc:Fallback>
        <control shapeId="1025" r:id="rId7" name="Txt_user"/>
      </mc:Fallback>
    </mc:AlternateContent>
    <mc:AlternateContent xmlns:mc="http://schemas.openxmlformats.org/markup-compatibility/2006">
      <mc:Choice Requires="x14">
        <control shapeId="1028" r:id="rId8" name="CommandButton2">
          <controlPr defaultSize="0" autoLine="0" r:id="rId9">
            <anchor moveWithCells="1">
              <from>
                <xdr:col>16</xdr:col>
                <xdr:colOff>472440</xdr:colOff>
                <xdr:row>1</xdr:row>
                <xdr:rowOff>7620</xdr:rowOff>
              </from>
              <to>
                <xdr:col>17</xdr:col>
                <xdr:colOff>594360</xdr:colOff>
                <xdr:row>3</xdr:row>
                <xdr:rowOff>53340</xdr:rowOff>
              </to>
            </anchor>
          </controlPr>
        </control>
      </mc:Choice>
      <mc:Fallback>
        <control shapeId="1028" r:id="rId8"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P2"/>
  <sheetViews>
    <sheetView zoomScaleNormal="100" workbookViewId="0">
      <selection activeCell="G15" sqref="G15"/>
    </sheetView>
  </sheetViews>
  <sheetFormatPr baseColWidth="10" defaultColWidth="11.109375" defaultRowHeight="14.4" x14ac:dyDescent="0.3"/>
  <cols>
    <col min="1" max="16384" width="11.109375" style="18"/>
  </cols>
  <sheetData>
    <row r="2" spans="16:16" x14ac:dyDescent="0.3">
      <c r="P2" s="32" t="s">
        <v>101</v>
      </c>
    </row>
  </sheetData>
  <sheetProtection password="CC3D"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0</xdr:col>
                <xdr:colOff>114300</xdr:colOff>
                <xdr:row>0</xdr:row>
                <xdr:rowOff>91440</xdr:rowOff>
              </from>
              <to>
                <xdr:col>1</xdr:col>
                <xdr:colOff>617220</xdr:colOff>
                <xdr:row>2</xdr:row>
                <xdr:rowOff>144780</xdr:rowOff>
              </to>
            </anchor>
          </controlPr>
        </control>
      </mc:Choice>
      <mc:Fallback>
        <control shapeId="2049" r:id="rId4" name="CommandButton1"/>
      </mc:Fallback>
    </mc:AlternateContent>
    <mc:AlternateContent xmlns:mc="http://schemas.openxmlformats.org/markup-compatibility/2006">
      <mc:Choice Requires="x14">
        <control shapeId="2050" r:id="rId6" name="Admin_bulletin">
          <controlPr defaultSize="0" autoLine="0" autoPict="0" r:id="rId7">
            <anchor moveWithCells="1">
              <from>
                <xdr:col>4</xdr:col>
                <xdr:colOff>205740</xdr:colOff>
                <xdr:row>19</xdr:row>
                <xdr:rowOff>53340</xdr:rowOff>
              </from>
              <to>
                <xdr:col>6</xdr:col>
                <xdr:colOff>678180</xdr:colOff>
                <xdr:row>21</xdr:row>
                <xdr:rowOff>106680</xdr:rowOff>
              </to>
            </anchor>
          </controlPr>
        </control>
      </mc:Choice>
      <mc:Fallback>
        <control shapeId="2050" r:id="rId6" name="Admin_bulletin"/>
      </mc:Fallback>
    </mc:AlternateContent>
    <mc:AlternateContent xmlns:mc="http://schemas.openxmlformats.org/markup-compatibility/2006">
      <mc:Choice Requires="x14">
        <control shapeId="2052" r:id="rId8" name="Presences">
          <controlPr defaultSize="0" autoLine="0" autoPict="0" r:id="rId9">
            <anchor moveWithCells="1">
              <from>
                <xdr:col>7</xdr:col>
                <xdr:colOff>396240</xdr:colOff>
                <xdr:row>19</xdr:row>
                <xdr:rowOff>60960</xdr:rowOff>
              </from>
              <to>
                <xdr:col>10</xdr:col>
                <xdr:colOff>121920</xdr:colOff>
                <xdr:row>21</xdr:row>
                <xdr:rowOff>114300</xdr:rowOff>
              </to>
            </anchor>
          </controlPr>
        </control>
      </mc:Choice>
      <mc:Fallback>
        <control shapeId="2052" r:id="rId8" name="Presences"/>
      </mc:Fallback>
    </mc:AlternateContent>
    <mc:AlternateContent xmlns:mc="http://schemas.openxmlformats.org/markup-compatibility/2006">
      <mc:Choice Requires="x14">
        <control shapeId="2054" r:id="rId10" name="Creation_de_compte">
          <controlPr defaultSize="0" autoLine="0" r:id="rId11">
            <anchor moveWithCells="1">
              <from>
                <xdr:col>10</xdr:col>
                <xdr:colOff>419100</xdr:colOff>
                <xdr:row>19</xdr:row>
                <xdr:rowOff>53340</xdr:rowOff>
              </from>
              <to>
                <xdr:col>13</xdr:col>
                <xdr:colOff>487680</xdr:colOff>
                <xdr:row>21</xdr:row>
                <xdr:rowOff>129540</xdr:rowOff>
              </to>
            </anchor>
          </controlPr>
        </control>
      </mc:Choice>
      <mc:Fallback>
        <control shapeId="2054" r:id="rId10" name="Creation_de_compte"/>
      </mc:Fallback>
    </mc:AlternateContent>
    <mc:AlternateContent xmlns:mc="http://schemas.openxmlformats.org/markup-compatibility/2006">
      <mc:Choice Requires="x14">
        <control shapeId="2055" r:id="rId12" name="CommandButton2">
          <controlPr defaultSize="0" autoLine="0" autoPict="0" r:id="rId13">
            <anchor moveWithCells="1">
              <from>
                <xdr:col>4</xdr:col>
                <xdr:colOff>205740</xdr:colOff>
                <xdr:row>24</xdr:row>
                <xdr:rowOff>175260</xdr:rowOff>
              </from>
              <to>
                <xdr:col>6</xdr:col>
                <xdr:colOff>739140</xdr:colOff>
                <xdr:row>27</xdr:row>
                <xdr:rowOff>60960</xdr:rowOff>
              </to>
            </anchor>
          </controlPr>
        </control>
      </mc:Choice>
      <mc:Fallback>
        <control shapeId="2055" r:id="rId12" name="CommandButton2"/>
      </mc:Fallback>
    </mc:AlternateContent>
    <mc:AlternateContent xmlns:mc="http://schemas.openxmlformats.org/markup-compatibility/2006">
      <mc:Choice Requires="x14">
        <control shapeId="2056" r:id="rId14" name="CommandButton3">
          <controlPr defaultSize="0" autoLine="0" r:id="rId15">
            <anchor moveWithCells="1">
              <from>
                <xdr:col>10</xdr:col>
                <xdr:colOff>419100</xdr:colOff>
                <xdr:row>24</xdr:row>
                <xdr:rowOff>152400</xdr:rowOff>
              </from>
              <to>
                <xdr:col>13</xdr:col>
                <xdr:colOff>487680</xdr:colOff>
                <xdr:row>27</xdr:row>
                <xdr:rowOff>38100</xdr:rowOff>
              </to>
            </anchor>
          </controlPr>
        </control>
      </mc:Choice>
      <mc:Fallback>
        <control shapeId="2056" r:id="rId14" name="CommandButton3"/>
      </mc:Fallback>
    </mc:AlternateContent>
    <mc:AlternateContent xmlns:mc="http://schemas.openxmlformats.org/markup-compatibility/2006">
      <mc:Choice Requires="x14">
        <control shapeId="2057" r:id="rId16" name="CommandButton4">
          <controlPr defaultSize="0" autoLine="0" r:id="rId17">
            <anchor moveWithCells="1">
              <from>
                <xdr:col>7</xdr:col>
                <xdr:colOff>403860</xdr:colOff>
                <xdr:row>24</xdr:row>
                <xdr:rowOff>167640</xdr:rowOff>
              </from>
              <to>
                <xdr:col>10</xdr:col>
                <xdr:colOff>129540</xdr:colOff>
                <xdr:row>27</xdr:row>
                <xdr:rowOff>53340</xdr:rowOff>
              </to>
            </anchor>
          </controlPr>
        </control>
      </mc:Choice>
      <mc:Fallback>
        <control shapeId="2057" r:id="rId16" name="CommandButton4"/>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C14"/>
  <sheetViews>
    <sheetView workbookViewId="0">
      <selection activeCell="A24" sqref="A24"/>
    </sheetView>
  </sheetViews>
  <sheetFormatPr baseColWidth="10" defaultRowHeight="14.4" x14ac:dyDescent="0.3"/>
  <cols>
    <col min="1" max="1" width="13.109375" customWidth="1"/>
    <col min="2" max="2" width="20.77734375" customWidth="1"/>
    <col min="3" max="3" width="16.109375" customWidth="1"/>
  </cols>
  <sheetData>
    <row r="1" spans="1:3" ht="15.9" x14ac:dyDescent="0.45">
      <c r="A1" s="2" t="s">
        <v>0</v>
      </c>
      <c r="B1" s="2" t="s">
        <v>1</v>
      </c>
      <c r="C1" s="2" t="s">
        <v>2</v>
      </c>
    </row>
    <row r="2" spans="1:3" ht="14.55" x14ac:dyDescent="0.4">
      <c r="A2" s="3" t="s">
        <v>98</v>
      </c>
      <c r="B2" s="3">
        <v>7777</v>
      </c>
      <c r="C2" s="3" t="s">
        <v>4</v>
      </c>
    </row>
    <row r="3" spans="1:3" ht="14.55" x14ac:dyDescent="0.4">
      <c r="A3" s="3" t="s">
        <v>3</v>
      </c>
      <c r="B3" s="3">
        <v>1234</v>
      </c>
      <c r="C3" s="3" t="s">
        <v>4</v>
      </c>
    </row>
    <row r="4" spans="1:3" ht="14.55" x14ac:dyDescent="0.4">
      <c r="A4" s="3" t="s">
        <v>97</v>
      </c>
      <c r="B4" s="3">
        <v>9999</v>
      </c>
      <c r="C4" s="3" t="s">
        <v>5</v>
      </c>
    </row>
    <row r="5" spans="1:3" ht="14.55" x14ac:dyDescent="0.4">
      <c r="A5" s="3"/>
      <c r="B5" s="3"/>
      <c r="C5" s="3"/>
    </row>
    <row r="6" spans="1:3" ht="14.55" x14ac:dyDescent="0.4">
      <c r="A6" s="3"/>
      <c r="B6" s="3"/>
      <c r="C6" s="3"/>
    </row>
    <row r="7" spans="1:3" ht="14.55" x14ac:dyDescent="0.4">
      <c r="A7" s="3"/>
      <c r="B7" s="3"/>
      <c r="C7" s="3"/>
    </row>
    <row r="8" spans="1:3" ht="14.55" x14ac:dyDescent="0.4">
      <c r="A8" s="3"/>
      <c r="B8" s="3"/>
      <c r="C8" s="3"/>
    </row>
    <row r="9" spans="1:3" ht="14.55" x14ac:dyDescent="0.4">
      <c r="A9" s="3"/>
      <c r="B9" s="3"/>
      <c r="C9" s="3"/>
    </row>
    <row r="10" spans="1:3" ht="14.55" x14ac:dyDescent="0.4">
      <c r="A10" s="3"/>
      <c r="B10" s="3"/>
      <c r="C10" s="3"/>
    </row>
    <row r="11" spans="1:3" ht="14.55" x14ac:dyDescent="0.4">
      <c r="A11" s="3"/>
      <c r="B11" s="3"/>
      <c r="C11" s="3"/>
    </row>
    <row r="12" spans="1:3" ht="14.55" x14ac:dyDescent="0.4">
      <c r="A12" s="3"/>
      <c r="B12" s="3"/>
      <c r="C12" s="3"/>
    </row>
    <row r="13" spans="1:3" ht="14.55" x14ac:dyDescent="0.4">
      <c r="A13" s="3"/>
      <c r="B13" s="3"/>
      <c r="C13" s="3"/>
    </row>
    <row r="14" spans="1:3" ht="14.55" x14ac:dyDescent="0.4">
      <c r="A14" s="3"/>
      <c r="B14" s="3"/>
      <c r="C14" s="3"/>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lletin">
    <pageSetUpPr fitToPage="1"/>
  </sheetPr>
  <dimension ref="A2:R37"/>
  <sheetViews>
    <sheetView view="pageBreakPreview" zoomScale="70" zoomScaleNormal="80" zoomScaleSheetLayoutView="70" workbookViewId="0">
      <selection activeCell="E9" sqref="E9:F9"/>
    </sheetView>
  </sheetViews>
  <sheetFormatPr baseColWidth="10" defaultRowHeight="14.4" x14ac:dyDescent="0.3"/>
  <cols>
    <col min="2" max="2" width="14.5546875" customWidth="1"/>
    <col min="3" max="3" width="15.109375" customWidth="1"/>
    <col min="4" max="4" width="16" customWidth="1"/>
    <col min="5" max="5" width="19.21875" customWidth="1"/>
    <col min="6" max="6" width="17.6640625" customWidth="1"/>
    <col min="7" max="7" width="13.77734375" customWidth="1"/>
    <col min="8" max="8" width="14.77734375" customWidth="1"/>
    <col min="9" max="9" width="13.88671875" customWidth="1"/>
    <col min="10" max="10" width="14.44140625" customWidth="1"/>
    <col min="11" max="11" width="14.6640625" customWidth="1"/>
  </cols>
  <sheetData>
    <row r="2" spans="1:18" ht="15" thickBot="1" x14ac:dyDescent="0.35">
      <c r="B2" s="23"/>
      <c r="C2" s="23"/>
      <c r="D2" s="23"/>
      <c r="E2" s="23"/>
      <c r="F2" s="23"/>
    </row>
    <row r="3" spans="1:18" x14ac:dyDescent="0.3">
      <c r="A3" s="21"/>
      <c r="B3" s="24"/>
      <c r="C3" s="35" t="s">
        <v>8</v>
      </c>
      <c r="D3" s="36"/>
      <c r="E3" s="36"/>
      <c r="F3" s="25"/>
    </row>
    <row r="4" spans="1:18" x14ac:dyDescent="0.3">
      <c r="A4" s="21"/>
      <c r="B4" s="24"/>
      <c r="C4" s="37"/>
      <c r="D4" s="37"/>
      <c r="E4" s="37"/>
      <c r="F4" s="26"/>
    </row>
    <row r="5" spans="1:18" x14ac:dyDescent="0.3">
      <c r="A5" s="21"/>
      <c r="B5" s="24"/>
      <c r="C5" s="24"/>
      <c r="D5" s="24"/>
      <c r="E5" s="24"/>
      <c r="F5" s="26"/>
    </row>
    <row r="6" spans="1:18" ht="17.399999999999999" customHeight="1" x14ac:dyDescent="0.3">
      <c r="A6" s="21"/>
      <c r="B6" s="24"/>
      <c r="C6" s="24"/>
      <c r="D6" s="24"/>
      <c r="E6" s="24"/>
      <c r="F6" s="26"/>
    </row>
    <row r="7" spans="1:18" ht="14.4" customHeight="1" x14ac:dyDescent="0.3">
      <c r="A7" s="21"/>
      <c r="B7" s="42" t="s">
        <v>74</v>
      </c>
      <c r="C7" s="42"/>
      <c r="D7" s="43"/>
      <c r="E7" s="50"/>
      <c r="F7" s="43"/>
    </row>
    <row r="8" spans="1:18" ht="26.4" customHeight="1" thickBot="1" x14ac:dyDescent="0.35">
      <c r="A8" s="21"/>
      <c r="B8" s="42"/>
      <c r="C8" s="42"/>
      <c r="D8" s="43"/>
      <c r="E8" s="50"/>
      <c r="F8" s="43"/>
      <c r="G8" s="30"/>
    </row>
    <row r="9" spans="1:18" ht="22.8" customHeight="1" thickBot="1" x14ac:dyDescent="0.35">
      <c r="A9" s="21"/>
      <c r="B9" s="63" t="s">
        <v>106</v>
      </c>
      <c r="C9" s="64"/>
      <c r="D9" s="65"/>
      <c r="E9" s="54" t="s">
        <v>50</v>
      </c>
      <c r="F9" s="55"/>
      <c r="G9" s="20"/>
    </row>
    <row r="10" spans="1:18" ht="22.8" customHeight="1" thickBot="1" x14ac:dyDescent="0.35">
      <c r="A10" s="21"/>
      <c r="B10" s="66" t="s">
        <v>11</v>
      </c>
      <c r="C10" s="67"/>
      <c r="D10" s="68"/>
      <c r="E10" s="54" t="str">
        <f>IFERROR(VLOOKUP(E9,Employe[],2,FALSE),"")</f>
        <v>G34123</v>
      </c>
      <c r="F10" s="55"/>
      <c r="G10" s="20"/>
    </row>
    <row r="11" spans="1:18" ht="22.8" customHeight="1" thickBot="1" x14ac:dyDescent="0.35">
      <c r="A11" s="21"/>
      <c r="B11" s="63" t="s">
        <v>75</v>
      </c>
      <c r="C11" s="64"/>
      <c r="D11" s="65"/>
      <c r="E11" s="70" t="str">
        <f>IFERROR(VLOOKUP(E9,Employe[],3,FALSE),"")</f>
        <v>Personnel</v>
      </c>
      <c r="F11" s="71"/>
      <c r="G11" s="20"/>
    </row>
    <row r="12" spans="1:18" ht="22.8" customHeight="1" thickBot="1" x14ac:dyDescent="0.35">
      <c r="A12" s="21"/>
      <c r="B12" s="66" t="s">
        <v>76</v>
      </c>
      <c r="C12" s="67"/>
      <c r="D12" s="68"/>
      <c r="E12" s="56" t="s">
        <v>54</v>
      </c>
      <c r="F12" s="55"/>
      <c r="G12" s="20"/>
    </row>
    <row r="13" spans="1:18" ht="22.8" customHeight="1" thickBot="1" x14ac:dyDescent="0.35">
      <c r="A13" s="21"/>
      <c r="B13" s="66" t="s">
        <v>77</v>
      </c>
      <c r="C13" s="67"/>
      <c r="D13" s="68"/>
      <c r="E13" s="54" t="str">
        <f>IFERROR(VLOOKUP(E9,Employe[],7,FALSE),"")</f>
        <v>01/01/2023-02/02/2023</v>
      </c>
      <c r="F13" s="55"/>
      <c r="G13" s="20"/>
    </row>
    <row r="14" spans="1:18" ht="22.8" customHeight="1" thickBot="1" x14ac:dyDescent="0.35">
      <c r="A14" s="21"/>
      <c r="B14" s="63" t="s">
        <v>78</v>
      </c>
      <c r="C14" s="64"/>
      <c r="D14" s="65"/>
      <c r="E14" s="72">
        <f ca="1">TODAY()</f>
        <v>44972</v>
      </c>
      <c r="F14" s="55"/>
      <c r="G14" s="20"/>
    </row>
    <row r="15" spans="1:18" ht="15" customHeight="1" x14ac:dyDescent="0.3">
      <c r="A15" s="21"/>
      <c r="B15" s="69" t="s">
        <v>79</v>
      </c>
      <c r="C15" s="69"/>
      <c r="D15" s="52"/>
      <c r="E15" s="50"/>
      <c r="F15" s="43"/>
      <c r="G15" s="20"/>
      <c r="L15" s="20"/>
      <c r="M15" s="20"/>
    </row>
    <row r="16" spans="1:18" ht="28.8" customHeight="1" thickBot="1" x14ac:dyDescent="0.35">
      <c r="A16" s="21"/>
      <c r="B16" s="44"/>
      <c r="C16" s="44"/>
      <c r="D16" s="45"/>
      <c r="E16" s="50"/>
      <c r="F16" s="43"/>
      <c r="G16" s="20"/>
      <c r="R16" s="22"/>
    </row>
    <row r="17" spans="1:18" ht="22.8" customHeight="1" thickBot="1" x14ac:dyDescent="0.35">
      <c r="A17" s="21"/>
      <c r="B17" s="63" t="s">
        <v>109</v>
      </c>
      <c r="C17" s="64"/>
      <c r="D17" s="65"/>
      <c r="E17" s="57">
        <v>140</v>
      </c>
      <c r="F17" s="58"/>
      <c r="G17" s="20"/>
    </row>
    <row r="18" spans="1:18" ht="22.8" customHeight="1" thickBot="1" x14ac:dyDescent="0.35">
      <c r="A18" s="21"/>
      <c r="B18" s="63" t="s">
        <v>108</v>
      </c>
      <c r="C18" s="64"/>
      <c r="D18" s="65"/>
      <c r="E18" s="46">
        <f>IFERROR(VLOOKUP(E9,Employe[],9,FALSE),"")</f>
        <v>1400</v>
      </c>
      <c r="F18" s="47"/>
      <c r="G18" s="20"/>
    </row>
    <row r="19" spans="1:18" ht="22.8" customHeight="1" thickBot="1" x14ac:dyDescent="0.35">
      <c r="A19" s="21"/>
      <c r="B19" s="66" t="s">
        <v>111</v>
      </c>
      <c r="C19" s="67"/>
      <c r="D19" s="68"/>
      <c r="E19" s="54">
        <f>IFERROR(VLOOKUP(E9,présence[],9,FALSE),0)</f>
        <v>1</v>
      </c>
      <c r="F19" s="55"/>
      <c r="G19" s="20"/>
    </row>
    <row r="20" spans="1:18" ht="22.8" customHeight="1" thickBot="1" x14ac:dyDescent="0.35">
      <c r="A20" s="21"/>
      <c r="B20" s="66" t="s">
        <v>80</v>
      </c>
      <c r="C20" s="67"/>
      <c r="D20" s="68"/>
      <c r="E20" s="54">
        <v>0</v>
      </c>
      <c r="F20" s="55"/>
      <c r="G20" s="20"/>
    </row>
    <row r="21" spans="1:18" ht="22.8" customHeight="1" thickBot="1" x14ac:dyDescent="0.35">
      <c r="A21" s="21"/>
      <c r="B21" s="66" t="s">
        <v>81</v>
      </c>
      <c r="C21" s="67"/>
      <c r="D21" s="68"/>
      <c r="E21" s="46">
        <f>E17*E18</f>
        <v>196000</v>
      </c>
      <c r="F21" s="47"/>
      <c r="G21" s="20"/>
    </row>
    <row r="22" spans="1:18" ht="15" customHeight="1" x14ac:dyDescent="0.3">
      <c r="A22" s="21"/>
      <c r="B22" s="42" t="s">
        <v>82</v>
      </c>
      <c r="C22" s="42"/>
      <c r="D22" s="43"/>
      <c r="E22" s="51"/>
      <c r="F22" s="52"/>
      <c r="G22" s="20"/>
      <c r="R22" s="19"/>
    </row>
    <row r="23" spans="1:18" ht="28.2" customHeight="1" thickBot="1" x14ac:dyDescent="0.35">
      <c r="A23" s="21"/>
      <c r="B23" s="42"/>
      <c r="C23" s="42"/>
      <c r="D23" s="43"/>
      <c r="E23" s="53"/>
      <c r="F23" s="45"/>
      <c r="G23" s="20"/>
      <c r="R23" s="19"/>
    </row>
    <row r="24" spans="1:18" ht="22.8" customHeight="1" thickBot="1" x14ac:dyDescent="0.35">
      <c r="A24" s="21"/>
      <c r="B24" s="63" t="s">
        <v>83</v>
      </c>
      <c r="C24" s="64"/>
      <c r="D24" s="65"/>
      <c r="E24" s="46">
        <v>1500</v>
      </c>
      <c r="F24" s="47"/>
      <c r="G24" s="20"/>
    </row>
    <row r="25" spans="1:18" ht="22.8" customHeight="1" thickBot="1" x14ac:dyDescent="0.35">
      <c r="A25" s="21"/>
      <c r="B25" s="63" t="s">
        <v>111</v>
      </c>
      <c r="C25" s="64"/>
      <c r="D25" s="65"/>
      <c r="E25" s="48">
        <f>(E19*E18)</f>
        <v>1400</v>
      </c>
      <c r="F25" s="49"/>
      <c r="G25" s="20"/>
    </row>
    <row r="26" spans="1:18" ht="22.8" customHeight="1" thickBot="1" x14ac:dyDescent="0.35">
      <c r="A26" s="21"/>
      <c r="B26" s="66" t="s">
        <v>84</v>
      </c>
      <c r="C26" s="67"/>
      <c r="D26" s="68"/>
      <c r="E26" s="46">
        <v>5000</v>
      </c>
      <c r="F26" s="47"/>
      <c r="G26" s="20"/>
    </row>
    <row r="27" spans="1:18" x14ac:dyDescent="0.3">
      <c r="A27" s="21"/>
      <c r="B27" s="27"/>
      <c r="C27" s="27"/>
      <c r="D27" s="26"/>
      <c r="E27" s="24"/>
      <c r="F27" s="26"/>
      <c r="G27" s="20"/>
    </row>
    <row r="28" spans="1:18" x14ac:dyDescent="0.3">
      <c r="A28" s="21"/>
      <c r="B28" s="27"/>
      <c r="C28" s="27"/>
      <c r="D28" s="26"/>
      <c r="E28" s="27"/>
      <c r="F28" s="26"/>
      <c r="G28" s="20"/>
    </row>
    <row r="29" spans="1:18" x14ac:dyDescent="0.3">
      <c r="A29" s="21"/>
      <c r="B29" s="27"/>
      <c r="C29" s="27"/>
      <c r="D29" s="26"/>
      <c r="E29" s="27"/>
      <c r="F29" s="26"/>
      <c r="G29" s="20"/>
    </row>
    <row r="30" spans="1:18" ht="15" thickBot="1" x14ac:dyDescent="0.35">
      <c r="A30" s="21"/>
      <c r="B30" s="28"/>
      <c r="C30" s="28"/>
      <c r="D30" s="29"/>
      <c r="E30" s="28"/>
      <c r="F30" s="29"/>
      <c r="G30" s="20"/>
    </row>
    <row r="31" spans="1:18" x14ac:dyDescent="0.3">
      <c r="A31" s="21"/>
      <c r="B31" s="59" t="s">
        <v>86</v>
      </c>
      <c r="C31" s="59"/>
      <c r="D31" s="60"/>
      <c r="E31" s="38">
        <f>E24-E25-E26</f>
        <v>-4900</v>
      </c>
      <c r="F31" s="39"/>
      <c r="G31" s="20"/>
    </row>
    <row r="32" spans="1:18" ht="15" thickBot="1" x14ac:dyDescent="0.35">
      <c r="A32" s="21"/>
      <c r="B32" s="61"/>
      <c r="C32" s="61"/>
      <c r="D32" s="62"/>
      <c r="E32" s="40"/>
      <c r="F32" s="41"/>
      <c r="G32" s="20"/>
    </row>
    <row r="33" spans="1:7" ht="14.4" customHeight="1" x14ac:dyDescent="0.3">
      <c r="A33" s="21"/>
      <c r="B33" s="42" t="s">
        <v>85</v>
      </c>
      <c r="C33" s="42"/>
      <c r="D33" s="43"/>
      <c r="E33" s="38">
        <f>E21-E31</f>
        <v>200900</v>
      </c>
      <c r="F33" s="39"/>
      <c r="G33" s="20"/>
    </row>
    <row r="34" spans="1:7" ht="15" customHeight="1" thickBot="1" x14ac:dyDescent="0.35">
      <c r="A34" s="21"/>
      <c r="B34" s="44"/>
      <c r="C34" s="44"/>
      <c r="D34" s="45"/>
      <c r="E34" s="40"/>
      <c r="F34" s="41"/>
      <c r="G34" s="20"/>
    </row>
    <row r="37" spans="1:7" ht="49.2" customHeight="1" x14ac:dyDescent="0.3"/>
  </sheetData>
  <mergeCells count="39">
    <mergeCell ref="E11:F11"/>
    <mergeCell ref="B10:D10"/>
    <mergeCell ref="B12:D12"/>
    <mergeCell ref="B14:D14"/>
    <mergeCell ref="B7:D8"/>
    <mergeCell ref="B9:D9"/>
    <mergeCell ref="B11:D11"/>
    <mergeCell ref="E14:F14"/>
    <mergeCell ref="B19:D19"/>
    <mergeCell ref="B20:D20"/>
    <mergeCell ref="B15:D16"/>
    <mergeCell ref="B22:D23"/>
    <mergeCell ref="B13:D13"/>
    <mergeCell ref="B17:D17"/>
    <mergeCell ref="B18:D18"/>
    <mergeCell ref="E20:F20"/>
    <mergeCell ref="B31:D32"/>
    <mergeCell ref="E31:F32"/>
    <mergeCell ref="E21:F21"/>
    <mergeCell ref="B24:D24"/>
    <mergeCell ref="B25:D25"/>
    <mergeCell ref="B26:D26"/>
    <mergeCell ref="B21:D21"/>
    <mergeCell ref="C3:E4"/>
    <mergeCell ref="E33:F34"/>
    <mergeCell ref="B33:D34"/>
    <mergeCell ref="E24:F24"/>
    <mergeCell ref="E25:F25"/>
    <mergeCell ref="E26:F26"/>
    <mergeCell ref="E15:F16"/>
    <mergeCell ref="E7:F8"/>
    <mergeCell ref="E22:F23"/>
    <mergeCell ref="E9:F9"/>
    <mergeCell ref="E10:F10"/>
    <mergeCell ref="E12:F12"/>
    <mergeCell ref="E13:F13"/>
    <mergeCell ref="E17:F17"/>
    <mergeCell ref="E18:F18"/>
    <mergeCell ref="E19:F19"/>
  </mergeCells>
  <pageMargins left="0.25" right="0.25" top="0.75" bottom="0.75" header="0.3" footer="0.3"/>
  <pageSetup scale="94" orientation="portrait" r:id="rId1"/>
  <drawing r:id="rId2"/>
  <legacyDrawing r:id="rId3"/>
  <controls>
    <mc:AlternateContent xmlns:mc="http://schemas.openxmlformats.org/markup-compatibility/2006">
      <mc:Choice Requires="x14">
        <control shapeId="6153" r:id="rId4" name="CommandButton1">
          <controlPr defaultSize="0" autoLine="0" r:id="rId5">
            <anchor moveWithCells="1">
              <from>
                <xdr:col>9</xdr:col>
                <xdr:colOff>327660</xdr:colOff>
                <xdr:row>8</xdr:row>
                <xdr:rowOff>152400</xdr:rowOff>
              </from>
              <to>
                <xdr:col>11</xdr:col>
                <xdr:colOff>754380</xdr:colOff>
                <xdr:row>10</xdr:row>
                <xdr:rowOff>190500</xdr:rowOff>
              </to>
            </anchor>
          </controlPr>
        </control>
      </mc:Choice>
      <mc:Fallback>
        <control shapeId="6153" r:id="rId4" name="CommandButton1"/>
      </mc:Fallback>
    </mc:AlternateContent>
    <mc:AlternateContent xmlns:mc="http://schemas.openxmlformats.org/markup-compatibility/2006">
      <mc:Choice Requires="x14">
        <control shapeId="6145" r:id="rId6" name="retour">
          <controlPr defaultSize="0" autoLine="0" r:id="rId7">
            <anchor moveWithCells="1">
              <from>
                <xdr:col>9</xdr:col>
                <xdr:colOff>601980</xdr:colOff>
                <xdr:row>5</xdr:row>
                <xdr:rowOff>99060</xdr:rowOff>
              </from>
              <to>
                <xdr:col>11</xdr:col>
                <xdr:colOff>434340</xdr:colOff>
                <xdr:row>7</xdr:row>
                <xdr:rowOff>137160</xdr:rowOff>
              </to>
            </anchor>
          </controlPr>
        </control>
      </mc:Choice>
      <mc:Fallback>
        <control shapeId="6145" r:id="rId6" name="retou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Employe!$A$2:$A$99</xm:f>
          </x14:formula1>
          <xm:sqref>E9:F9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E2:S12"/>
  <sheetViews>
    <sheetView zoomScaleNormal="100" workbookViewId="0">
      <selection activeCell="B3" sqref="B3"/>
    </sheetView>
  </sheetViews>
  <sheetFormatPr baseColWidth="10" defaultColWidth="11.5546875" defaultRowHeight="14.4" x14ac:dyDescent="0.3"/>
  <cols>
    <col min="1" max="16384" width="11.5546875" style="11"/>
  </cols>
  <sheetData>
    <row r="2" spans="5:19" x14ac:dyDescent="0.3">
      <c r="P2" s="31" t="s">
        <v>105</v>
      </c>
    </row>
    <row r="3" spans="5:19" x14ac:dyDescent="0.4">
      <c r="S3" s="11" t="s">
        <v>6</v>
      </c>
    </row>
    <row r="12" spans="5:19" x14ac:dyDescent="0.3">
      <c r="E12" s="12"/>
    </row>
  </sheetData>
  <sheetProtection password="CC3D" sheet="1" objects="1" scenarios="1"/>
  <pageMargins left="0.7" right="0.7" top="0.75" bottom="0.75" header="0.3" footer="0.3"/>
  <drawing r:id="rId1"/>
  <legacyDrawing r:id="rId2"/>
  <controls>
    <mc:AlternateContent xmlns:mc="http://schemas.openxmlformats.org/markup-compatibility/2006">
      <mc:Choice Requires="x14">
        <control shapeId="5122" r:id="rId3" name="CommandButton1">
          <controlPr defaultSize="0" autoLine="0" r:id="rId4">
            <anchor moveWithCells="1">
              <from>
                <xdr:col>0</xdr:col>
                <xdr:colOff>137160</xdr:colOff>
                <xdr:row>0</xdr:row>
                <xdr:rowOff>99060</xdr:rowOff>
              </from>
              <to>
                <xdr:col>1</xdr:col>
                <xdr:colOff>670560</xdr:colOff>
                <xdr:row>2</xdr:row>
                <xdr:rowOff>76200</xdr:rowOff>
              </to>
            </anchor>
          </controlPr>
        </control>
      </mc:Choice>
      <mc:Fallback>
        <control shapeId="5122" r:id="rId3" name="CommandButton1"/>
      </mc:Fallback>
    </mc:AlternateContent>
    <mc:AlternateContent xmlns:mc="http://schemas.openxmlformats.org/markup-compatibility/2006">
      <mc:Choice Requires="x14">
        <control shapeId="5123" r:id="rId5" name="CommandButton2">
          <controlPr defaultSize="0" autoLine="0" r:id="rId6">
            <anchor moveWithCells="1">
              <from>
                <xdr:col>3</xdr:col>
                <xdr:colOff>784860</xdr:colOff>
                <xdr:row>18</xdr:row>
                <xdr:rowOff>129540</xdr:rowOff>
              </from>
              <to>
                <xdr:col>6</xdr:col>
                <xdr:colOff>449580</xdr:colOff>
                <xdr:row>21</xdr:row>
                <xdr:rowOff>99060</xdr:rowOff>
              </to>
            </anchor>
          </controlPr>
        </control>
      </mc:Choice>
      <mc:Fallback>
        <control shapeId="5123" r:id="rId5" name="CommandButton2"/>
      </mc:Fallback>
    </mc:AlternateContent>
    <mc:AlternateContent xmlns:mc="http://schemas.openxmlformats.org/markup-compatibility/2006">
      <mc:Choice Requires="x14">
        <control shapeId="5126" r:id="rId7" name="CommandButton3">
          <controlPr defaultSize="0" autoLine="0" r:id="rId8">
            <anchor moveWithCells="1">
              <from>
                <xdr:col>11</xdr:col>
                <xdr:colOff>76200</xdr:colOff>
                <xdr:row>18</xdr:row>
                <xdr:rowOff>83820</xdr:rowOff>
              </from>
              <to>
                <xdr:col>13</xdr:col>
                <xdr:colOff>541020</xdr:colOff>
                <xdr:row>21</xdr:row>
                <xdr:rowOff>91440</xdr:rowOff>
              </to>
            </anchor>
          </controlPr>
        </control>
      </mc:Choice>
      <mc:Fallback>
        <control shapeId="5126" r:id="rId7" name="CommandButton3"/>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G3"/>
  <sheetViews>
    <sheetView workbookViewId="0">
      <selection activeCell="B17" sqref="B17"/>
    </sheetView>
  </sheetViews>
  <sheetFormatPr baseColWidth="10" defaultColWidth="22.6640625" defaultRowHeight="14.4" x14ac:dyDescent="0.3"/>
  <sheetData>
    <row r="1" spans="1:7" x14ac:dyDescent="0.4">
      <c r="A1" s="5" t="s">
        <v>17</v>
      </c>
      <c r="B1" s="6" t="s">
        <v>18</v>
      </c>
      <c r="C1" s="6" t="s">
        <v>11</v>
      </c>
      <c r="D1" s="6" t="s">
        <v>13</v>
      </c>
      <c r="E1" s="6" t="s">
        <v>7</v>
      </c>
      <c r="F1" s="7" t="s">
        <v>19</v>
      </c>
      <c r="G1" s="10"/>
    </row>
    <row r="2" spans="1:7" x14ac:dyDescent="0.3">
      <c r="A2" t="s">
        <v>98</v>
      </c>
      <c r="B2" t="s">
        <v>99</v>
      </c>
      <c r="C2" t="s">
        <v>100</v>
      </c>
      <c r="D2" t="s">
        <v>21</v>
      </c>
      <c r="F2">
        <v>6978512452</v>
      </c>
    </row>
    <row r="3" spans="1:7" x14ac:dyDescent="0.3">
      <c r="A3" t="s">
        <v>102</v>
      </c>
      <c r="B3" t="s">
        <v>103</v>
      </c>
      <c r="C3" t="s">
        <v>104</v>
      </c>
      <c r="D3" t="s">
        <v>21</v>
      </c>
      <c r="E3" t="s">
        <v>48</v>
      </c>
      <c r="F3">
        <v>698816048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H12"/>
  <sheetViews>
    <sheetView workbookViewId="0">
      <selection activeCell="H2" sqref="H2"/>
    </sheetView>
  </sheetViews>
  <sheetFormatPr baseColWidth="10" defaultColWidth="20.6640625" defaultRowHeight="14.4" x14ac:dyDescent="0.3"/>
  <sheetData>
    <row r="1" spans="1:8" x14ac:dyDescent="0.4">
      <c r="A1" s="5" t="s">
        <v>10</v>
      </c>
      <c r="B1" s="6" t="s">
        <v>11</v>
      </c>
      <c r="C1" s="6" t="s">
        <v>23</v>
      </c>
      <c r="D1" s="6" t="s">
        <v>24</v>
      </c>
      <c r="E1" s="6" t="s">
        <v>25</v>
      </c>
      <c r="F1" s="7" t="s">
        <v>26</v>
      </c>
      <c r="G1" s="6" t="s">
        <v>27</v>
      </c>
      <c r="H1" s="6" t="s">
        <v>20</v>
      </c>
    </row>
    <row r="2" spans="1:8" x14ac:dyDescent="0.3">
      <c r="A2" t="s">
        <v>49</v>
      </c>
      <c r="B2" t="s">
        <v>47</v>
      </c>
      <c r="C2" t="s">
        <v>28</v>
      </c>
      <c r="D2" s="33">
        <v>44927</v>
      </c>
      <c r="E2" t="s">
        <v>112</v>
      </c>
      <c r="F2" s="33">
        <v>44928</v>
      </c>
      <c r="G2" t="s">
        <v>113</v>
      </c>
      <c r="H2" t="s">
        <v>22</v>
      </c>
    </row>
    <row r="3" spans="1:8" x14ac:dyDescent="0.3">
      <c r="A3" t="s">
        <v>50</v>
      </c>
      <c r="B3" t="s">
        <v>51</v>
      </c>
      <c r="C3" t="s">
        <v>28</v>
      </c>
      <c r="D3" t="s">
        <v>30</v>
      </c>
      <c r="E3" t="s">
        <v>115</v>
      </c>
      <c r="F3" t="s">
        <v>116</v>
      </c>
      <c r="G3" t="s">
        <v>117</v>
      </c>
      <c r="H3" t="s">
        <v>33</v>
      </c>
    </row>
    <row r="12" spans="1:8" x14ac:dyDescent="0.3">
      <c r="C12">
        <v>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H16"/>
  <sheetViews>
    <sheetView topLeftCell="C1" workbookViewId="0">
      <selection activeCell="G16" sqref="G16"/>
    </sheetView>
  </sheetViews>
  <sheetFormatPr baseColWidth="10" defaultColWidth="23" defaultRowHeight="14.4" x14ac:dyDescent="0.3"/>
  <sheetData>
    <row r="1" spans="1:8" ht="14.55" x14ac:dyDescent="0.4">
      <c r="A1" t="s">
        <v>13</v>
      </c>
      <c r="B1" t="s">
        <v>23</v>
      </c>
      <c r="C1" t="s">
        <v>24</v>
      </c>
      <c r="D1" t="s">
        <v>12</v>
      </c>
      <c r="E1" t="s">
        <v>20</v>
      </c>
      <c r="F1" t="s">
        <v>56</v>
      </c>
      <c r="H1" t="s">
        <v>57</v>
      </c>
    </row>
    <row r="2" spans="1:8" x14ac:dyDescent="0.3">
      <c r="A2" t="s">
        <v>21</v>
      </c>
      <c r="B2" s="8" t="s">
        <v>28</v>
      </c>
      <c r="C2" s="9" t="s">
        <v>30</v>
      </c>
      <c r="D2" t="s">
        <v>15</v>
      </c>
      <c r="E2" t="s">
        <v>22</v>
      </c>
      <c r="F2" t="s">
        <v>58</v>
      </c>
      <c r="H2" t="s">
        <v>60</v>
      </c>
    </row>
    <row r="3" spans="1:8" x14ac:dyDescent="0.3">
      <c r="A3" t="s">
        <v>16</v>
      </c>
      <c r="B3" s="8" t="s">
        <v>31</v>
      </c>
      <c r="C3" s="9" t="s">
        <v>29</v>
      </c>
      <c r="D3" t="s">
        <v>32</v>
      </c>
      <c r="E3" t="s">
        <v>33</v>
      </c>
      <c r="F3" t="s">
        <v>70</v>
      </c>
      <c r="H3" t="s">
        <v>61</v>
      </c>
    </row>
    <row r="4" spans="1:8" x14ac:dyDescent="0.3">
      <c r="B4" s="8" t="s">
        <v>34</v>
      </c>
      <c r="C4" s="9" t="s">
        <v>35</v>
      </c>
      <c r="D4" t="s">
        <v>36</v>
      </c>
      <c r="F4" t="s">
        <v>59</v>
      </c>
      <c r="H4" t="s">
        <v>69</v>
      </c>
    </row>
    <row r="5" spans="1:8" ht="14.55" x14ac:dyDescent="0.4">
      <c r="B5" s="8"/>
      <c r="C5" s="9" t="s">
        <v>37</v>
      </c>
      <c r="D5" t="s">
        <v>38</v>
      </c>
      <c r="F5" t="s">
        <v>71</v>
      </c>
      <c r="H5" t="s">
        <v>62</v>
      </c>
    </row>
    <row r="6" spans="1:8" ht="14.55" x14ac:dyDescent="0.4">
      <c r="C6" s="9" t="s">
        <v>39</v>
      </c>
      <c r="H6" t="s">
        <v>63</v>
      </c>
    </row>
    <row r="7" spans="1:8" ht="14.55" x14ac:dyDescent="0.4">
      <c r="C7" s="9" t="s">
        <v>40</v>
      </c>
      <c r="H7" t="s">
        <v>64</v>
      </c>
    </row>
    <row r="8" spans="1:8" ht="14.55" x14ac:dyDescent="0.4">
      <c r="C8" s="9" t="s">
        <v>41</v>
      </c>
    </row>
    <row r="9" spans="1:8" ht="14.55" x14ac:dyDescent="0.4">
      <c r="C9" s="9" t="s">
        <v>42</v>
      </c>
    </row>
    <row r="10" spans="1:8" x14ac:dyDescent="0.3">
      <c r="C10" s="9" t="s">
        <v>43</v>
      </c>
      <c r="F10" t="s">
        <v>55</v>
      </c>
    </row>
    <row r="11" spans="1:8" ht="14.55" x14ac:dyDescent="0.4">
      <c r="C11" s="9" t="s">
        <v>44</v>
      </c>
      <c r="F11" t="s">
        <v>9</v>
      </c>
    </row>
    <row r="12" spans="1:8" ht="14.55" x14ac:dyDescent="0.4">
      <c r="C12" s="9" t="s">
        <v>45</v>
      </c>
      <c r="F12" t="s">
        <v>65</v>
      </c>
    </row>
    <row r="13" spans="1:8" x14ac:dyDescent="0.3">
      <c r="C13" s="9" t="s">
        <v>46</v>
      </c>
      <c r="F13" t="s">
        <v>66</v>
      </c>
    </row>
    <row r="14" spans="1:8" x14ac:dyDescent="0.3">
      <c r="F14" t="s">
        <v>67</v>
      </c>
    </row>
    <row r="15" spans="1:8" ht="14.55" x14ac:dyDescent="0.4">
      <c r="F15" t="s">
        <v>68</v>
      </c>
    </row>
    <row r="16" spans="1:8" ht="14.55" x14ac:dyDescent="0.4">
      <c r="F16" t="s">
        <v>36</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I8"/>
  <sheetViews>
    <sheetView zoomScale="62" zoomScaleNormal="62" workbookViewId="0">
      <selection activeCell="C16" sqref="C16"/>
    </sheetView>
  </sheetViews>
  <sheetFormatPr baseColWidth="10" defaultColWidth="23.21875" defaultRowHeight="14.4" x14ac:dyDescent="0.3"/>
  <sheetData>
    <row r="1" spans="1:9" ht="33.450000000000003" x14ac:dyDescent="0.85">
      <c r="A1" s="73" t="s">
        <v>54</v>
      </c>
      <c r="B1" s="74"/>
      <c r="C1" s="74"/>
      <c r="D1" s="74"/>
      <c r="E1" s="74"/>
      <c r="F1" s="74"/>
      <c r="G1" s="74"/>
      <c r="H1" s="74"/>
      <c r="I1" s="74"/>
    </row>
    <row r="2" spans="1:9" ht="26.1" x14ac:dyDescent="0.7">
      <c r="A2" s="75" t="s">
        <v>52</v>
      </c>
      <c r="B2" s="76"/>
      <c r="C2" s="76"/>
      <c r="D2" s="76"/>
      <c r="E2" s="76"/>
      <c r="F2" s="76"/>
      <c r="G2" s="76"/>
      <c r="H2" s="76"/>
      <c r="I2" s="76"/>
    </row>
    <row r="3" spans="1:9" x14ac:dyDescent="0.3">
      <c r="A3" s="13" t="s">
        <v>87</v>
      </c>
      <c r="B3" s="13" t="s">
        <v>88</v>
      </c>
      <c r="C3" s="13" t="s">
        <v>89</v>
      </c>
      <c r="D3" s="13" t="s">
        <v>90</v>
      </c>
      <c r="E3" s="13" t="s">
        <v>91</v>
      </c>
      <c r="F3" s="13" t="s">
        <v>92</v>
      </c>
      <c r="G3" s="13" t="s">
        <v>93</v>
      </c>
      <c r="H3" s="13" t="s">
        <v>94</v>
      </c>
      <c r="I3" s="13" t="s">
        <v>53</v>
      </c>
    </row>
    <row r="4" spans="1:9" ht="14.55" x14ac:dyDescent="0.4">
      <c r="A4" s="14" t="s">
        <v>49</v>
      </c>
      <c r="B4" s="3" t="s">
        <v>47</v>
      </c>
      <c r="C4" s="15" t="b">
        <v>1</v>
      </c>
      <c r="D4" s="15" t="b">
        <v>1</v>
      </c>
      <c r="E4" s="15" t="b">
        <v>1</v>
      </c>
      <c r="F4" s="15" t="b">
        <v>1</v>
      </c>
      <c r="G4" s="15" t="b">
        <v>1</v>
      </c>
      <c r="H4" s="16" t="b">
        <v>1</v>
      </c>
      <c r="I4" s="15">
        <f>COUNTIF(présence[[#This Row],[LUNDI]:[SAMEDI]],"FAUX")</f>
        <v>0</v>
      </c>
    </row>
    <row r="5" spans="1:9" x14ac:dyDescent="0.3">
      <c r="A5" s="17" t="s">
        <v>50</v>
      </c>
      <c r="B5" s="15" t="s">
        <v>51</v>
      </c>
      <c r="C5" s="15" t="b">
        <v>1</v>
      </c>
      <c r="D5" s="15" t="b">
        <v>1</v>
      </c>
      <c r="E5" s="15" t="b">
        <v>1</v>
      </c>
      <c r="F5" s="15" t="b">
        <v>0</v>
      </c>
      <c r="G5" s="15" t="b">
        <v>1</v>
      </c>
      <c r="H5" s="16" t="b">
        <v>1</v>
      </c>
      <c r="I5" s="15">
        <f>COUNTIF(présence[[#This Row],[LUNDI]:[SAMEDI]],"FAUX")</f>
        <v>1</v>
      </c>
    </row>
    <row r="6" spans="1:9" x14ac:dyDescent="0.3">
      <c r="A6" s="17"/>
      <c r="B6" s="15"/>
      <c r="C6" s="15"/>
      <c r="D6" s="15"/>
      <c r="E6" s="15"/>
      <c r="F6" s="15"/>
      <c r="G6" s="15"/>
      <c r="H6" s="16"/>
      <c r="I6" s="15">
        <f>COUNTIF(présence[[#This Row],[LUNDI]:[SAMEDI]],"FAUX")</f>
        <v>0</v>
      </c>
    </row>
    <row r="7" spans="1:9" x14ac:dyDescent="0.3">
      <c r="A7" s="17"/>
      <c r="B7" s="15"/>
      <c r="C7" s="15"/>
      <c r="D7" s="15"/>
      <c r="E7" s="15"/>
      <c r="F7" s="15"/>
      <c r="G7" s="15"/>
      <c r="H7" s="16"/>
      <c r="I7" s="15">
        <f>COUNTIF(présence[[#This Row],[LUNDI]:[SAMEDI]],"FAUX")</f>
        <v>0</v>
      </c>
    </row>
    <row r="8" spans="1:9" x14ac:dyDescent="0.3">
      <c r="A8" s="13"/>
      <c r="B8" s="4"/>
      <c r="C8" s="4"/>
      <c r="D8" s="4"/>
      <c r="E8" s="4"/>
      <c r="F8" s="4"/>
      <c r="G8" s="4"/>
    </row>
  </sheetData>
  <mergeCells count="2">
    <mergeCell ref="A1:I1"/>
    <mergeCell ref="A2:I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
  <sheetViews>
    <sheetView topLeftCell="A3" workbookViewId="0">
      <selection activeCell="J9" sqref="J9"/>
    </sheetView>
  </sheetViews>
  <sheetFormatPr baseColWidth="10" defaultRowHeight="14.4" x14ac:dyDescent="0.3"/>
  <cols>
    <col min="1" max="16384" width="11.5546875" style="34"/>
  </cols>
  <sheetData/>
  <sheetProtection password="CC3D" sheet="1" objects="1" scenarios="1"/>
  <pageMargins left="0.7" right="0.7" top="0.75" bottom="0.75" header="0.3" footer="0.3"/>
  <drawing r:id="rId1"/>
  <legacyDrawing r:id="rId2"/>
  <controls>
    <mc:AlternateContent xmlns:mc="http://schemas.openxmlformats.org/markup-compatibility/2006">
      <mc:Choice Requires="x14">
        <control shapeId="8193" r:id="rId3" name="CommandButton1">
          <controlPr defaultSize="0" autoLine="0" r:id="rId4">
            <anchor moveWithCells="1">
              <from>
                <xdr:col>10</xdr:col>
                <xdr:colOff>45720</xdr:colOff>
                <xdr:row>2</xdr:row>
                <xdr:rowOff>0</xdr:rowOff>
              </from>
              <to>
                <xdr:col>11</xdr:col>
                <xdr:colOff>419100</xdr:colOff>
                <xdr:row>3</xdr:row>
                <xdr:rowOff>160020</xdr:rowOff>
              </to>
            </anchor>
          </controlPr>
        </control>
      </mc:Choice>
      <mc:Fallback>
        <control shapeId="8193"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Accueil</vt:lpstr>
      <vt:lpstr>Help_e</vt:lpstr>
      <vt:lpstr>'Bulletin de paie'!Zone_d_impression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Ngos Moise</dc:creator>
  <cp:lastModifiedBy>Ngos Moise</cp:lastModifiedBy>
  <cp:lastPrinted>2023-02-14T14:03:42Z</cp:lastPrinted>
  <dcterms:created xsi:type="dcterms:W3CDTF">2023-02-08T10:45:17Z</dcterms:created>
  <dcterms:modified xsi:type="dcterms:W3CDTF">2023-02-15T10:44:44Z</dcterms:modified>
</cp:coreProperties>
</file>